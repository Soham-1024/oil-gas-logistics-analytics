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ccenture project\"/>
    </mc:Choice>
  </mc:AlternateContent>
  <bookViews>
    <workbookView xWindow="0" yWindow="0" windowWidth="19160" windowHeight="6360" tabRatio="940"/>
  </bookViews>
  <sheets>
    <sheet name="Readme" sheetId="1" r:id="rId1"/>
    <sheet name="01_inventory_turnover" sheetId="2" r:id="rId2"/>
    <sheet name="02_cost_per_tonkm" sheetId="9" r:id="rId3"/>
    <sheet name="03_delay_by_route" sheetId="11" r:id="rId4"/>
    <sheet name="03b_monsoon_delay" sheetId="12" r:id="rId5"/>
    <sheet name="04_supplier_scorecard" sheetId="13" r:id="rId6"/>
    <sheet name="05_warehouse_utilization" sheetId="14" r:id="rId7"/>
    <sheet name="06_pareto_routes" sheetId="15" r:id="rId8"/>
    <sheet name="07_monthly_cost_trend" sheetId="16" r:id="rId9"/>
    <sheet name="08_ontime_delivery" sheetId="17" r:id="rId10"/>
    <sheet name="09_demurrage_impact" sheetId="18" r:id="rId11"/>
    <sheet name="10_roadtopipeline_shift" sheetId="19" r:id="rId12"/>
    <sheet name="11_cost_component_breakdown" sheetId="20" r:id="rId13"/>
    <sheet name="pivot_cost" sheetId="3" r:id="rId14"/>
    <sheet name="pivot_supplier" sheetId="4" r:id="rId15"/>
    <sheet name="waterfall" sheetId="5" r:id="rId16"/>
    <sheet name="whatif_modeshift" sheetId="6" r:id="rId17"/>
    <sheet name="findings" sheetId="8" r:id="rId18"/>
  </sheets>
  <definedNames>
    <definedName name="_01_inventory_turnover" localSheetId="1">'01_inventory_turnover'!$A$1:$E$16</definedName>
    <definedName name="_02_cost_per_tonkm" localSheetId="2">'02_cost_per_tonkm'!$A$1:$E$5</definedName>
    <definedName name="_03_delay_by_route" localSheetId="3">'03_delay_by_route'!$A$1:$F$26</definedName>
    <definedName name="_03b_monsoon_delay" localSheetId="4">'03b_monsoon_delay'!$A$1:$D$9</definedName>
    <definedName name="_04_supplier_scorecard" localSheetId="5">'04_supplier_scorecard'!$A$1:$G$9</definedName>
    <definedName name="_05_warehouse_utilization" localSheetId="6">'05_warehouse_utilization'!$A$1:$F$16</definedName>
    <definedName name="_06_pareto_routes" localSheetId="7">'06_pareto_routes'!$A$1:$C$26</definedName>
    <definedName name="_07_monthly_cost_trend" localSheetId="8">'07_monthly_cost_trend'!$A$1:$F$19</definedName>
    <definedName name="_08_ontime_delivery" localSheetId="9">'08_ontime_delivery'!$A$1:$D$5</definedName>
    <definedName name="_09_demurrage_impact" localSheetId="10">'09_demurrage_impact'!$A$1:$C$2</definedName>
    <definedName name="_10_roadtopipeline_shift" localSheetId="11">'10_roadtopipeline_shift'!$A$1:$F$10</definedName>
    <definedName name="_11_cost_component_breakdown" localSheetId="12">'11_cost_component_breakdown'!$A$1:$D$2</definedName>
  </definedNames>
  <calcPr calcId="152511"/>
  <pivotCaches>
    <pivotCache cacheId="0" r:id="rId19"/>
    <pivotCache cacheId="1" r:id="rId2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6" l="1"/>
  <c r="B8" i="6" s="1"/>
  <c r="D6" i="5"/>
  <c r="B5" i="5"/>
  <c r="B4" i="5"/>
  <c r="B3" i="5"/>
  <c r="B9" i="6" l="1"/>
  <c r="B10" i="6"/>
  <c r="B11" i="6" s="1"/>
  <c r="E1" i="6" s="1"/>
</calcChain>
</file>

<file path=xl/connections.xml><?xml version="1.0" encoding="utf-8"?>
<connections xmlns="http://schemas.openxmlformats.org/spreadsheetml/2006/main">
  <connection id="1" name="01_inventory_turnover" type="6" refreshedVersion="5" background="1" saveData="1">
    <textPr codePage="437" sourceFile="C:\Accenture project\SQL_outputs\01_inventory_turnover.csv" tab="0" comma="1">
      <textFields count="5">
        <textField type="text"/>
        <textField type="text"/>
        <textField/>
        <textField/>
        <textField/>
      </textFields>
    </textPr>
  </connection>
  <connection id="2" name="02_cost_per_tonkm" type="6" refreshedVersion="5" background="1" saveData="1">
    <textPr codePage="437" sourceFile="C:\Accenture project\SQL_outputs\02_cost_per_tonkm.csv" tab="0" comma="1">
      <textFields count="5">
        <textField type="text"/>
        <textField/>
        <textField/>
        <textField/>
        <textField/>
      </textFields>
    </textPr>
  </connection>
  <connection id="3" name="03_delay_by_route" type="6" refreshedVersion="5" background="1" saveData="1">
    <textPr codePage="437" sourceFile="C:\Accenture project\SQL_outputs\03_delay_by_route.csv" tab="0" comma="1">
      <textFields count="6">
        <textField/>
        <textField/>
        <textField type="text"/>
        <textField/>
        <textField/>
        <textField/>
      </textFields>
    </textPr>
  </connection>
  <connection id="4" name="03b_monsoon_delay" type="6" refreshedVersion="5" background="1" saveData="1">
    <textPr codePage="437" sourceFile="C:\Accenture project\SQL_outputs\03b_monsoon_delay.csv" tab="0" comma="1">
      <textFields count="4">
        <textField type="text"/>
        <textField/>
        <textField/>
        <textField/>
      </textFields>
    </textPr>
  </connection>
  <connection id="5" name="04_supplier_scorecard" type="6" refreshedVersion="5" background="1" saveData="1">
    <textPr codePage="437" sourceFile="C:\Accenture project\SQL_outputs\04_supplier_scorecard.csv" tab="0" comma="1">
      <textFields count="7">
        <textField type="text"/>
        <textField type="text"/>
        <textField/>
        <textField/>
        <textField/>
        <textField/>
        <textField/>
      </textFields>
    </textPr>
  </connection>
  <connection id="6" name="05_warehouse_utilization" type="6" refreshedVersion="5" background="1" saveData="1">
    <textPr codePage="437" sourceFile="C:\Accenture project\SQL_outputs\05_warehouse_utilization.csv" tab="0" comma="1">
      <textFields count="6">
        <textField type="text"/>
        <textField type="text"/>
        <textField/>
        <textField/>
        <textField/>
        <textField type="text"/>
      </textFields>
    </textPr>
  </connection>
  <connection id="7" name="06_pareto_routes" type="6" refreshedVersion="5" background="1" saveData="1">
    <textPr codePage="437" sourceFile="C:\Accenture project\SQL_outputs\06_pareto_routes.csv" tab="0" comma="1">
      <textFields count="3">
        <textField/>
        <textField/>
        <textField/>
      </textFields>
    </textPr>
  </connection>
  <connection id="8" name="07_monthly_cost_trend" type="6" refreshedVersion="5" background="1" saveData="1">
    <textPr codePage="437" sourceFile="C:\Accenture project\SQL_outputs\07_monthly_cost_trend.csv" tab="0" comma="1">
      <textFields count="6">
        <textField/>
        <textField/>
        <textField type="text"/>
        <textField/>
        <textField/>
        <textField/>
      </textFields>
    </textPr>
  </connection>
  <connection id="9" name="08_ontime_delivery" type="6" refreshedVersion="5" background="1" saveData="1">
    <textPr codePage="437" sourceFile="C:\Accenture project\SQL_outputs\08_ontime_delivery.csv" tab="0" comma="1">
      <textFields count="4">
        <textField type="text"/>
        <textField/>
        <textField/>
        <textField/>
      </textFields>
    </textPr>
  </connection>
  <connection id="10" name="09_demurrage_impact" type="6" refreshedVersion="5" background="1" saveData="1">
    <textPr codePage="437" sourceFile="C:\Accenture project\SQL_outputs\09_demurrage_impact.csv" tab="0" comma="1">
      <textFields count="3">
        <textField/>
        <textField/>
        <textField/>
      </textFields>
    </textPr>
  </connection>
  <connection id="11" name="10_roadtopipeline_shift" type="6" refreshedVersion="5" background="1" saveData="1">
    <textPr codePage="437" sourceFile="C:\Accenture project\SQL_outputs\10_roadtopipeline_shift.csv" tab="0" comma="1">
      <textFields count="6">
        <textField/>
        <textField/>
        <textField/>
        <textField/>
        <textField/>
        <textField/>
      </textFields>
    </textPr>
  </connection>
  <connection id="12" name="11_cost_component_breakdown" type="6" refreshedVersion="5" background="1" saveData="1">
    <textPr codePage="437" sourceFile="C:\Accenture project\SQL_outputs\11_cost_component_breakdown.csv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<sst xmlns="http://schemas.openxmlformats.org/spreadsheetml/2006/main" count="256" uniqueCount="134">
  <si>
    <t>warehouse_name</t>
  </si>
  <si>
    <t>region</t>
  </si>
  <si>
    <t>total_stock_out</t>
  </si>
  <si>
    <t>avg_inventory</t>
  </si>
  <si>
    <t>inventory_turnover_ratio</t>
  </si>
  <si>
    <t>CEN-WH12</t>
  </si>
  <si>
    <t>Central</t>
  </si>
  <si>
    <t>CEN-WH07</t>
  </si>
  <si>
    <t>SOU-WH09</t>
  </si>
  <si>
    <t>Southern</t>
  </si>
  <si>
    <t>NOR-WH14</t>
  </si>
  <si>
    <t>Northern</t>
  </si>
  <si>
    <t>WES-WH02</t>
  </si>
  <si>
    <t>Western</t>
  </si>
  <si>
    <t>SOU-WH08</t>
  </si>
  <si>
    <t>SOU-WH03</t>
  </si>
  <si>
    <t>SOU-WH05</t>
  </si>
  <si>
    <t>WES-WH01</t>
  </si>
  <si>
    <t>CEN-WH11</t>
  </si>
  <si>
    <t>NOR-WH06</t>
  </si>
  <si>
    <t>NOR-WH13</t>
  </si>
  <si>
    <t>CEN-WH04</t>
  </si>
  <si>
    <t>NOR-WH10</t>
  </si>
  <si>
    <t>SOU-WH15</t>
  </si>
  <si>
    <t>mode_name</t>
  </si>
  <si>
    <t>total_shipments</t>
  </si>
  <si>
    <t>total_transport_cost</t>
  </si>
  <si>
    <t>total_ton_km</t>
  </si>
  <si>
    <t>cost_per_ton_km</t>
  </si>
  <si>
    <t>Road</t>
  </si>
  <si>
    <t>Rail</t>
  </si>
  <si>
    <t>Sea</t>
  </si>
  <si>
    <t>Pipeline</t>
  </si>
  <si>
    <t>route_id</t>
  </si>
  <si>
    <t>distance_km</t>
  </si>
  <si>
    <t>terrain_type</t>
  </si>
  <si>
    <t>avg_delay_days</t>
  </si>
  <si>
    <t>shipment_count</t>
  </si>
  <si>
    <t>delay_rank</t>
  </si>
  <si>
    <t>Coastal</t>
  </si>
  <si>
    <t>Plain</t>
  </si>
  <si>
    <t>Hilly</t>
  </si>
  <si>
    <t>is_monsoon</t>
  </si>
  <si>
    <t>supplier_name</t>
  </si>
  <si>
    <t>mode_specialization</t>
  </si>
  <si>
    <t>avg_delay</t>
  </si>
  <si>
    <t>total_penalty_cost</t>
  </si>
  <si>
    <t>total_freight_spend</t>
  </si>
  <si>
    <t>penalty_pct_of_spend</t>
  </si>
  <si>
    <t>National Pipeline Services</t>
  </si>
  <si>
    <t>Bharat Freight Carriers</t>
  </si>
  <si>
    <t>Coastal Sea Movers</t>
  </si>
  <si>
    <t>Suvidha Transport Co.</t>
  </si>
  <si>
    <t>IndRoad Logistics</t>
  </si>
  <si>
    <t>Apex Tankers Pvt Ltd</t>
  </si>
  <si>
    <t>Ganga Logistics Group</t>
  </si>
  <si>
    <t>Trident Rail Cargo</t>
  </si>
  <si>
    <t>capacity_tons</t>
  </si>
  <si>
    <t>avg_closing_stock</t>
  </si>
  <si>
    <t>avg_utilization_pct</t>
  </si>
  <si>
    <t>utilization_flag</t>
  </si>
  <si>
    <t>Over-utilized</t>
  </si>
  <si>
    <t>Healthy</t>
  </si>
  <si>
    <t>Under-utilized</t>
  </si>
  <si>
    <t>total_cost</t>
  </si>
  <si>
    <t>cumulative_pct_of_total</t>
  </si>
  <si>
    <t>year</t>
  </si>
  <si>
    <t>month</t>
  </si>
  <si>
    <t>month_name</t>
  </si>
  <si>
    <t>total_logistics_cost</t>
  </si>
  <si>
    <t>total_volume_tons</t>
  </si>
  <si>
    <t>cost_per_ton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</si>
  <si>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</si>
  <si>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</si>
  <si>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</si>
  <si>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</si>
  <si>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</si>
  <si>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</si>
  <si>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</si>
  <si>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</si>
  <si>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</si>
  <si>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</si>
  <si>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</si>
  <si>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</si>
  <si>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on_time_shipments</t>
  </si>
  <si>
    <t>on_time_pct</t>
  </si>
  <si>
    <t>total_demurrage_cost</t>
  </si>
  <si>
    <t>demurrage_pct_of_transport_cost</t>
  </si>
  <si>
    <t>road_shipments_on_pipeline_capable_routes</t>
  </si>
  <si>
    <t>total_tons_shiftable</t>
  </si>
  <si>
    <t>current_road_cost</t>
  </si>
  <si>
    <t>estimated_cost_if_pipeline</t>
  </si>
  <si>
    <t>total_fuel</t>
  </si>
  <si>
    <t>total_freight</t>
  </si>
  <si>
    <t>total_handling</t>
  </si>
  <si>
    <t>total_demurrage</t>
  </si>
  <si>
    <t>Sum of total_cost</t>
  </si>
  <si>
    <t>Row Labels</t>
  </si>
  <si>
    <t>Grand Total</t>
  </si>
  <si>
    <t>Average of cumulative_pct_of_total</t>
  </si>
  <si>
    <t>Average of penalty_pct_of_spend</t>
  </si>
  <si>
    <t>Average of avg_delay</t>
  </si>
  <si>
    <t>Cost Component</t>
  </si>
  <si>
    <t>Fuel</t>
  </si>
  <si>
    <t>Freight</t>
  </si>
  <si>
    <t>Handling</t>
  </si>
  <si>
    <t>Demurrage</t>
  </si>
  <si>
    <t>Total Logistics Cost</t>
  </si>
  <si>
    <t>Invisible Base</t>
  </si>
  <si>
    <t>Value</t>
  </si>
  <si>
    <t>Total</t>
  </si>
  <si>
    <t>Road Cost per Ton-Km</t>
  </si>
  <si>
    <t>Pipeline Cost per Ton-Km</t>
  </si>
  <si>
    <t>Total Volume (Route 15)</t>
  </si>
  <si>
    <t>Delay Penalty Risk</t>
  </si>
  <si>
    <t>Test Shift %</t>
  </si>
  <si>
    <t>Volume Being Shifted</t>
  </si>
  <si>
    <t>Old Cost (Using Trucks)</t>
  </si>
  <si>
    <t>New Cost (Using Pipes)</t>
  </si>
  <si>
    <t>Basic Savings</t>
  </si>
  <si>
    <t>Net Savings (After Penalties)</t>
  </si>
  <si>
    <t>Shift%</t>
  </si>
  <si>
    <r>
      <t xml:space="preserve">Route 4 alone accounts for </t>
    </r>
    <r>
      <rPr>
        <b/>
        <sz val="11"/>
        <color theme="1"/>
        <rFont val="Arial"/>
        <family val="2"/>
      </rPr>
      <t>65.1%</t>
    </r>
    <r>
      <rPr>
        <sz val="11"/>
        <color theme="1"/>
        <rFont val="Arial"/>
        <family val="2"/>
      </rPr>
      <t xml:space="preserve"> of ONGC's total transport cost. This creates a massive concentration risk for the supply chain.</t>
    </r>
  </si>
  <si>
    <t>Diversify carriers on Route 4 or renegotiate rates immediately to lower cost concentration.</t>
  </si>
  <si>
    <t>2. Demurrage Costs Out of Control</t>
  </si>
  <si>
    <r>
      <t>Total demurrage penalties (</t>
    </r>
    <r>
      <rPr>
        <b/>
        <sz val="11"/>
        <color theme="1"/>
        <rFont val="Arial"/>
        <family val="2"/>
      </rPr>
      <t>₹39.1 Cr</t>
    </r>
    <r>
      <rPr>
        <sz val="11"/>
        <color theme="1"/>
        <rFont val="Arial"/>
        <family val="2"/>
      </rPr>
      <t>) exceed total transport costs (</t>
    </r>
    <r>
      <rPr>
        <b/>
        <sz val="11"/>
        <color theme="1"/>
        <rFont val="Arial"/>
        <family val="2"/>
      </rPr>
      <t>₹37.8 Cr</t>
    </r>
    <r>
      <rPr>
        <sz val="11"/>
        <color theme="1"/>
        <rFont val="Arial"/>
        <family val="2"/>
      </rPr>
      <t xml:space="preserve">). ONGC spends </t>
    </r>
    <r>
      <rPr>
        <b/>
        <sz val="11"/>
        <color theme="1"/>
        <rFont val="Arial"/>
        <family val="2"/>
      </rPr>
      <t>103.6%</t>
    </r>
    <r>
      <rPr>
        <sz val="11"/>
        <color theme="1"/>
        <rFont val="Arial"/>
        <family val="2"/>
      </rPr>
      <t xml:space="preserve"> of its freight budget just on delay penalties.</t>
    </r>
  </si>
  <si>
    <t>Fix warehouse loading and unloading bottlenecks to stop the penalty bleed before chasing lower freight rates.</t>
  </si>
  <si>
    <t>3. The Pipeline Reliability Paradox</t>
  </si>
  <si>
    <r>
      <t xml:space="preserve">Pipeline is the cheapest transport mode at </t>
    </r>
    <r>
      <rPr>
        <b/>
        <sz val="11"/>
        <color theme="1"/>
        <rFont val="Arial"/>
        <family val="2"/>
      </rPr>
      <t>₹0.033/ton-km</t>
    </r>
    <r>
      <rPr>
        <sz val="11"/>
        <color theme="1"/>
        <rFont val="Arial"/>
        <family val="2"/>
      </rPr>
      <t xml:space="preserve">, but it has a terrible </t>
    </r>
    <r>
      <rPr>
        <b/>
        <sz val="11"/>
        <color theme="1"/>
        <rFont val="Arial"/>
        <family val="2"/>
      </rPr>
      <t>2.1% on-time delivery rate</t>
    </r>
    <r>
      <rPr>
        <sz val="11"/>
        <color theme="1"/>
        <rFont val="Arial"/>
        <family val="2"/>
      </rPr>
      <t>.</t>
    </r>
  </si>
  <si>
    <r>
      <t xml:space="preserve">Do </t>
    </r>
    <r>
      <rPr>
        <i/>
        <sz val="11"/>
        <color theme="1"/>
        <rFont val="Arial"/>
        <family val="2"/>
      </rPr>
      <t>not</t>
    </r>
    <r>
      <rPr>
        <sz val="11"/>
        <color theme="1"/>
        <rFont val="Arial"/>
        <family val="2"/>
      </rPr>
      <t xml:space="preserve"> run a full immediate cutover from road to pipeline. Reliability issues must be fixed first.</t>
    </r>
  </si>
  <si>
    <t>4. Route 15 Mode-Shift Opportunity</t>
  </si>
  <si>
    <r>
      <t xml:space="preserve">Shifting road volume to pipeline on Route 15 yields </t>
    </r>
    <r>
      <rPr>
        <b/>
        <sz val="11"/>
        <color theme="1"/>
        <rFont val="Arial"/>
        <family val="2"/>
      </rPr>
      <t>₹1.9 Cr</t>
    </r>
    <r>
      <rPr>
        <sz val="11"/>
        <color theme="1"/>
        <rFont val="Arial"/>
        <family val="2"/>
      </rPr>
      <t xml:space="preserve"> in estimated gross savings.</t>
    </r>
  </si>
  <si>
    <r>
      <t xml:space="preserve">Cross-reference with cell </t>
    </r>
    <r>
      <rPr>
        <b/>
        <sz val="11"/>
        <color theme="1"/>
        <rFont val="Arial"/>
        <family val="2"/>
      </rPr>
      <t>B11</t>
    </r>
    <r>
      <rPr>
        <sz val="11"/>
        <color theme="1"/>
        <rFont val="Arial"/>
        <family val="2"/>
      </rPr>
      <t xml:space="preserve"> on your </t>
    </r>
    <r>
      <rPr>
        <sz val="10"/>
        <color theme="1"/>
        <rFont val="Google Sans Text"/>
        <family val="2"/>
      </rPr>
      <t>WhatIf_ModeShift</t>
    </r>
    <r>
      <rPr>
        <sz val="11"/>
        <color theme="1"/>
        <rFont val="Arial"/>
        <family val="2"/>
      </rPr>
      <t xml:space="preserve"> sheet to get the exact net savings after penalty risks.</t>
    </r>
  </si>
  <si>
    <t>1..Headline FindingWhat the Data ShowsStrategic Action Item1. Extreme Cost Concentration on Route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</si>
</sst>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[abc_logistics_analysis.xlsx]pivot_cost!PivotTable1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pivot_cost!$B$1</c:f>
              <c:strCache>
                <c:ptCount val="1"/>
                <c:pt idx="0">
                  <c:v>Sum of total_cost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pivot_cost!$A$2:$A$27</c:f>
              <c:strCache>
                <c:ptCount val="25"/>
                <c:pt idx="0">
                  <c:v>4</c:v>
                </c:pt>
                <c:pt idx="1">
                  <c:v>15</c:v>
                </c:pt>
                <c:pt idx="2">
                  <c:v>3</c:v>
                </c:pt>
                <c:pt idx="3">
                  <c:v>24</c:v>
                </c:pt>
                <c:pt idx="4">
                  <c:v>12</c:v>
                </c:pt>
                <c:pt idx="5">
                  <c:v>19</c:v>
                </c:pt>
                <c:pt idx="6">
                  <c:v>1</c:v>
                </c:pt>
                <c:pt idx="7">
                  <c:v>11</c:v>
                </c:pt>
                <c:pt idx="8">
                  <c:v>21</c:v>
                </c:pt>
                <c:pt idx="9">
                  <c:v>7</c:v>
                </c:pt>
                <c:pt idx="10">
                  <c:v>14</c:v>
                </c:pt>
                <c:pt idx="11">
                  <c:v>17</c:v>
                </c:pt>
                <c:pt idx="12">
                  <c:v>9</c:v>
                </c:pt>
                <c:pt idx="13">
                  <c:v>18</c:v>
                </c:pt>
                <c:pt idx="14">
                  <c:v>25</c:v>
                </c:pt>
                <c:pt idx="15">
                  <c:v>20</c:v>
                </c:pt>
                <c:pt idx="16">
                  <c:v>22</c:v>
                </c:pt>
                <c:pt idx="17">
                  <c:v>23</c:v>
                </c:pt>
                <c:pt idx="18">
                  <c:v>10</c:v>
                </c:pt>
                <c:pt idx="19">
                  <c:v>8</c:v>
                </c:pt>
                <c:pt idx="20">
                  <c:v>13</c:v>
                </c:pt>
                <c:pt idx="21">
                  <c:v>6</c:v>
                </c:pt>
                <c:pt idx="22">
                  <c:v>16</c:v>
                </c:pt>
                <c:pt idx="23">
                  <c:v>2</c:v>
                </c:pt>
                <c:pt idx="24">
                  <c:v>5</c:v>
                </c:pt>
              </c:strCache>
            </c:strRef>
          </c:cat>
          <c:val>
            <c:numRef>
              <c:f>pivot_cost!$B$2:$B$27</c:f>
              <c:numCache>
                <c:formatCode>General</c:formatCode>
                <c:ptCount val="25"/>
                <c:pt idx="0">
                  <c:v>247293170</c:v>
                </c:pt>
                <c:pt idx="1">
                  <c:v>36224745</c:v>
                </c:pt>
                <c:pt idx="2">
                  <c:v>18933550</c:v>
                </c:pt>
                <c:pt idx="3">
                  <c:v>15504275</c:v>
                </c:pt>
                <c:pt idx="4">
                  <c:v>11410984</c:v>
                </c:pt>
                <c:pt idx="5">
                  <c:v>10618580</c:v>
                </c:pt>
                <c:pt idx="6">
                  <c:v>4648316</c:v>
                </c:pt>
                <c:pt idx="7">
                  <c:v>4581042</c:v>
                </c:pt>
                <c:pt idx="8">
                  <c:v>4275309</c:v>
                </c:pt>
                <c:pt idx="9">
                  <c:v>3800225</c:v>
                </c:pt>
                <c:pt idx="10">
                  <c:v>2982724</c:v>
                </c:pt>
                <c:pt idx="11">
                  <c:v>2536549</c:v>
                </c:pt>
                <c:pt idx="12">
                  <c:v>2536096</c:v>
                </c:pt>
                <c:pt idx="13">
                  <c:v>2209529</c:v>
                </c:pt>
                <c:pt idx="14">
                  <c:v>2129244</c:v>
                </c:pt>
                <c:pt idx="15">
                  <c:v>1865400</c:v>
                </c:pt>
                <c:pt idx="16">
                  <c:v>1818907</c:v>
                </c:pt>
                <c:pt idx="17">
                  <c:v>1510663</c:v>
                </c:pt>
                <c:pt idx="18">
                  <c:v>1255965</c:v>
                </c:pt>
                <c:pt idx="19">
                  <c:v>1037071</c:v>
                </c:pt>
                <c:pt idx="20">
                  <c:v>882890</c:v>
                </c:pt>
                <c:pt idx="21">
                  <c:v>752285</c:v>
                </c:pt>
                <c:pt idx="22">
                  <c:v>510203</c:v>
                </c:pt>
                <c:pt idx="23">
                  <c:v>386898</c:v>
                </c:pt>
                <c:pt idx="24">
                  <c:v>345989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506552"/>
        <c:axId val="174508120"/>
      </c:barChart>
      <c:lineChart>
        <c:grouping val="standard"/>
        <c:varyColors val="0"/>
        <c:ser>
          <c:idx val="1"/>
          <c:order val="1"/>
          <c:tx>
            <c:strRef>
              <c:f>pivot_cost!$C$1</c:f>
              <c:strCache>
                <c:ptCount val="1"/>
                <c:pt idx="0">
                  <c:v>Average of cumulative_pct_of_total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pivot_cost!$A$2:$A$27</c:f>
              <c:strCache>
                <c:ptCount val="25"/>
                <c:pt idx="0">
                  <c:v>4</c:v>
                </c:pt>
                <c:pt idx="1">
                  <c:v>15</c:v>
                </c:pt>
                <c:pt idx="2">
                  <c:v>3</c:v>
                </c:pt>
                <c:pt idx="3">
                  <c:v>24</c:v>
                </c:pt>
                <c:pt idx="4">
                  <c:v>12</c:v>
                </c:pt>
                <c:pt idx="5">
                  <c:v>19</c:v>
                </c:pt>
                <c:pt idx="6">
                  <c:v>1</c:v>
                </c:pt>
                <c:pt idx="7">
                  <c:v>11</c:v>
                </c:pt>
                <c:pt idx="8">
                  <c:v>21</c:v>
                </c:pt>
                <c:pt idx="9">
                  <c:v>7</c:v>
                </c:pt>
                <c:pt idx="10">
                  <c:v>14</c:v>
                </c:pt>
                <c:pt idx="11">
                  <c:v>17</c:v>
                </c:pt>
                <c:pt idx="12">
                  <c:v>9</c:v>
                </c:pt>
                <c:pt idx="13">
                  <c:v>18</c:v>
                </c:pt>
                <c:pt idx="14">
                  <c:v>25</c:v>
                </c:pt>
                <c:pt idx="15">
                  <c:v>20</c:v>
                </c:pt>
                <c:pt idx="16">
                  <c:v>22</c:v>
                </c:pt>
                <c:pt idx="17">
                  <c:v>23</c:v>
                </c:pt>
                <c:pt idx="18">
                  <c:v>10</c:v>
                </c:pt>
                <c:pt idx="19">
                  <c:v>8</c:v>
                </c:pt>
                <c:pt idx="20">
                  <c:v>13</c:v>
                </c:pt>
                <c:pt idx="21">
                  <c:v>6</c:v>
                </c:pt>
                <c:pt idx="22">
                  <c:v>16</c:v>
                </c:pt>
                <c:pt idx="23">
                  <c:v>2</c:v>
                </c:pt>
                <c:pt idx="24">
                  <c:v>5</c:v>
                </c:pt>
              </c:strCache>
            </c:strRef>
          </c:cat>
          <c:val>
            <c:numRef>
              <c:f>pivot_cost!$C$2:$C$27</c:f>
              <c:numCache>
                <c:formatCode>General</c:formatCode>
                <c:ptCount val="25"/>
                <c:pt idx="0">
                  <c:v>65.099999999999994</c:v>
                </c:pt>
                <c:pt idx="1">
                  <c:v>74.599999999999994</c:v>
                </c:pt>
                <c:pt idx="2">
                  <c:v>79.599999999999994</c:v>
                </c:pt>
                <c:pt idx="3">
                  <c:v>83.7</c:v>
                </c:pt>
                <c:pt idx="4">
                  <c:v>86.7</c:v>
                </c:pt>
                <c:pt idx="5">
                  <c:v>89.5</c:v>
                </c:pt>
                <c:pt idx="6">
                  <c:v>90.7</c:v>
                </c:pt>
                <c:pt idx="7">
                  <c:v>91.9</c:v>
                </c:pt>
                <c:pt idx="8">
                  <c:v>93</c:v>
                </c:pt>
                <c:pt idx="9">
                  <c:v>94</c:v>
                </c:pt>
                <c:pt idx="10">
                  <c:v>94.8</c:v>
                </c:pt>
                <c:pt idx="11">
                  <c:v>95.5</c:v>
                </c:pt>
                <c:pt idx="12">
                  <c:v>96.1</c:v>
                </c:pt>
                <c:pt idx="13">
                  <c:v>96.7</c:v>
                </c:pt>
                <c:pt idx="14">
                  <c:v>97.3</c:v>
                </c:pt>
                <c:pt idx="15">
                  <c:v>97.8</c:v>
                </c:pt>
                <c:pt idx="16">
                  <c:v>98.2</c:v>
                </c:pt>
                <c:pt idx="17">
                  <c:v>98.6</c:v>
                </c:pt>
                <c:pt idx="18">
                  <c:v>99</c:v>
                </c:pt>
                <c:pt idx="19">
                  <c:v>99.2</c:v>
                </c:pt>
                <c:pt idx="20">
                  <c:v>99.5</c:v>
                </c:pt>
                <c:pt idx="21">
                  <c:v>99.7</c:v>
                </c:pt>
                <c:pt idx="22">
                  <c:v>99.8</c:v>
                </c:pt>
                <c:pt idx="23">
                  <c:v>99.9</c:v>
                </c:pt>
                <c:pt idx="24">
                  <c:v>100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02632"/>
        <c:axId val="174502240"/>
      </c:lineChart>
      <c:catAx>
        <c:axId val="174506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8120"/>
        <c:crosses val="autoZero"/>
        <c:auto val="1"/>
        <c:lblAlgn val="ctr"/>
        <c:lblOffset val="100"/>
        <c:noMultiLvlLbl val="0"/>
      </c:catAx>
      <c:valAx>
        <c:axId val="17450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6552"/>
        <c:crosses val="autoZero"/>
        <c:crossBetween val="between"/>
      </c:valAx>
      <c:valAx>
        <c:axId val="174502240"/>
        <c:scaling>
          <c:orientation val="minMax"/>
          <c:max val="1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2632"/>
        <c:crosses val="max"/>
        <c:crossBetween val="between"/>
      </c:valAx>
      <c:catAx>
        <c:axId val="174502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45022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[abc_logistics_analysis.xlsx]pivot_supplier!PivotTable2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pivot_supplier!$B$1</c:f>
              <c:strCache>
                <c:ptCount val="1"/>
                <c:pt idx="0">
                  <c:v>Average of avg_delay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pivot_supplier!$A$2:$A$9</c:f>
              <c:strCache>
                <c:ptCount val="7"/>
                <c:pt idx="0">
                  <c:v>Bharat Freight Carriers</c:v>
                </c:pt>
                <c:pt idx="1">
                  <c:v>Suvidha Transport Co.</c:v>
                </c:pt>
                <c:pt idx="2">
                  <c:v>IndRoad Logistics</c:v>
                </c:pt>
                <c:pt idx="3">
                  <c:v>Apex Tankers Pvt Ltd</c:v>
                </c:pt>
                <c:pt idx="4">
                  <c:v>Coastal Sea Movers</c:v>
                </c:pt>
                <c:pt idx="5">
                  <c:v>Ganga Logistics Group</c:v>
                </c:pt>
                <c:pt idx="6">
                  <c:v>Trident Rail Cargo</c:v>
                </c:pt>
              </c:strCache>
            </c:strRef>
          </c:cat>
          <c:val>
            <c:numRef>
              <c:f>pivot_supplier!$B$2:$B$9</c:f>
              <c:numCache>
                <c:formatCode>General</c:formatCode>
                <c:ptCount val="7"/>
                <c:pt idx="0">
                  <c:v>4.03</c:v>
                </c:pt>
                <c:pt idx="1">
                  <c:v>1.1499999999999999</c:v>
                </c:pt>
                <c:pt idx="2">
                  <c:v>1.1299999999999999</c:v>
                </c:pt>
                <c:pt idx="3">
                  <c:v>0.73</c:v>
                </c:pt>
                <c:pt idx="4">
                  <c:v>0.55000000000000004</c:v>
                </c:pt>
                <c:pt idx="5">
                  <c:v>0.5</c:v>
                </c:pt>
                <c:pt idx="6">
                  <c:v>0.24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4503024"/>
        <c:axId val="174503416"/>
      </c:barChart>
      <c:lineChart>
        <c:grouping val="standard"/>
        <c:varyColors val="0"/>
        <c:ser>
          <c:idx val="1"/>
          <c:order val="1"/>
          <c:tx>
            <c:strRef>
              <c:f>pivot_supplier!$C$1</c:f>
              <c:strCache>
                <c:ptCount val="1"/>
                <c:pt idx="0">
                  <c:v>Average of penalty_pct_of_spend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pivot_supplier!$A$2:$A$9</c:f>
              <c:strCache>
                <c:ptCount val="7"/>
                <c:pt idx="0">
                  <c:v>Bharat Freight Carriers</c:v>
                </c:pt>
                <c:pt idx="1">
                  <c:v>Suvidha Transport Co.</c:v>
                </c:pt>
                <c:pt idx="2">
                  <c:v>IndRoad Logistics</c:v>
                </c:pt>
                <c:pt idx="3">
                  <c:v>Apex Tankers Pvt Ltd</c:v>
                </c:pt>
                <c:pt idx="4">
                  <c:v>Coastal Sea Movers</c:v>
                </c:pt>
                <c:pt idx="5">
                  <c:v>Ganga Logistics Group</c:v>
                </c:pt>
                <c:pt idx="6">
                  <c:v>Trident Rail Cargo</c:v>
                </c:pt>
              </c:strCache>
            </c:strRef>
          </c:cat>
          <c:val>
            <c:numRef>
              <c:f>pivot_supplier!$C$2:$C$9</c:f>
              <c:numCache>
                <c:formatCode>General</c:formatCode>
                <c:ptCount val="7"/>
                <c:pt idx="0">
                  <c:v>286.48</c:v>
                </c:pt>
                <c:pt idx="1">
                  <c:v>84.73</c:v>
                </c:pt>
                <c:pt idx="2">
                  <c:v>83.19</c:v>
                </c:pt>
                <c:pt idx="3">
                  <c:v>55.01</c:v>
                </c:pt>
                <c:pt idx="4">
                  <c:v>91.04</c:v>
                </c:pt>
                <c:pt idx="5">
                  <c:v>45.42</c:v>
                </c:pt>
                <c:pt idx="6">
                  <c:v>21.5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594920"/>
        <c:axId val="462591392"/>
      </c:lineChart>
      <c:catAx>
        <c:axId val="17450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3416"/>
        <c:crosses val="autoZero"/>
        <c:auto val="1"/>
        <c:lblAlgn val="ctr"/>
        <c:lblOffset val="100"/>
        <c:noMultiLvlLbl val="0"/>
      </c:catAx>
      <c:valAx>
        <c:axId val="17450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3024"/>
        <c:crosses val="autoZero"/>
        <c:crossBetween val="between"/>
      </c:valAx>
      <c:valAx>
        <c:axId val="4625913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594920"/>
        <c:crosses val="max"/>
        <c:crossBetween val="between"/>
      </c:valAx>
      <c:catAx>
        <c:axId val="462594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2591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waterfall!$B$1</c:f>
              <c:strCache>
                <c:ptCount val="1"/>
                <c:pt idx="0">
                  <c:v>Invisible Base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waterfall!$A$2:$A$6</c:f>
              <c:strCache>
                <c:ptCount val="5"/>
                <c:pt idx="0">
                  <c:v>Fuel</c:v>
                </c:pt>
                <c:pt idx="1">
                  <c:v>Freight</c:v>
                </c:pt>
                <c:pt idx="2">
                  <c:v>Handling</c:v>
                </c:pt>
                <c:pt idx="3">
                  <c:v>Demurrage</c:v>
                </c:pt>
                <c:pt idx="4">
                  <c:v>Total Logistics Cost</c:v>
                </c:pt>
              </c:strCache>
            </c:strRef>
          </c:cat>
          <c:val>
            <c:numRef>
              <c:f>waterfall!$B$2:$B$6</c:f>
              <c:numCache>
                <c:formatCode>General</c:formatCode>
                <c:ptCount val="5"/>
                <c:pt idx="0">
                  <c:v>0</c:v>
                </c:pt>
                <c:pt idx="1">
                  <c:v>129998084.34999999</c:v>
                </c:pt>
                <c:pt idx="2">
                  <c:v>380050608.19999999</c:v>
                </c:pt>
                <c:pt idx="3">
                  <c:v>779219670.42000008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waterfall!$C$1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waterfall!$A$2:$A$6</c:f>
              <c:strCache>
                <c:ptCount val="5"/>
                <c:pt idx="0">
                  <c:v>Fuel</c:v>
                </c:pt>
                <c:pt idx="1">
                  <c:v>Freight</c:v>
                </c:pt>
                <c:pt idx="2">
                  <c:v>Handling</c:v>
                </c:pt>
                <c:pt idx="3">
                  <c:v>Demurrage</c:v>
                </c:pt>
                <c:pt idx="4">
                  <c:v>Total Logistics Cost</c:v>
                </c:pt>
              </c:strCache>
            </c:strRef>
          </c:cat>
          <c:val>
            <c:numRef>
              <c:f>waterfall!$C$2:$C$6</c:f>
              <c:numCache>
                <c:formatCode>General</c:formatCode>
                <c:ptCount val="5"/>
                <c:pt idx="0">
                  <c:v>129998084.34999999</c:v>
                </c:pt>
                <c:pt idx="1">
                  <c:v>250052523.84999999</c:v>
                </c:pt>
                <c:pt idx="2">
                  <c:v>399169062.22000003</c:v>
                </c:pt>
                <c:pt idx="3">
                  <c:v>391499957.31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waterfall!$D$1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waterfall!$A$2:$A$6</c:f>
              <c:strCache>
                <c:ptCount val="5"/>
                <c:pt idx="0">
                  <c:v>Fuel</c:v>
                </c:pt>
                <c:pt idx="1">
                  <c:v>Freight</c:v>
                </c:pt>
                <c:pt idx="2">
                  <c:v>Handling</c:v>
                </c:pt>
                <c:pt idx="3">
                  <c:v>Demurrage</c:v>
                </c:pt>
                <c:pt idx="4">
                  <c:v>Total Logistics Cost</c:v>
                </c:pt>
              </c:strCache>
            </c:strRef>
          </c:cat>
          <c:val>
            <c:numRef>
              <c:f>waterfall!$D$2:$D$6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1170719627.73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2597272"/>
        <c:axId val="462590216"/>
      </c:barChart>
      <c:catAx>
        <c:axId val="462597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590216"/>
        <c:crosses val="autoZero"/>
        <c:auto val="1"/>
        <c:lblAlgn val="ctr"/>
        <c:lblOffset val="100"/>
        <c:noMultiLvlLbl val="0"/>
      </c:catAx>
      <c:valAx>
        <c:axId val="462590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597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117474</xdr:colOff>
      <xdr:row>7</xdr:row>
      <xdr:rowOff>120650</xdr:rowOff>
    </xdr:from>
    <xdr:to>
      <xdr:col>12</xdr:col>
      <xdr:colOff>57149</xdr:colOff>
      <xdr:row>22</xdr:row>
      <xdr:rowOff>101600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0</xdr:row>
      <xdr:rowOff>12700</xdr:rowOff>
    </xdr:from>
    <xdr:to>
      <xdr:col>10</xdr:col>
      <xdr:colOff>390525</xdr:colOff>
      <xdr:row>15</xdr:row>
      <xdr:rowOff>177800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174625</xdr:colOff>
      <xdr:row>3</xdr:row>
      <xdr:rowOff>9525</xdr:rowOff>
    </xdr:from>
    <xdr:to>
      <xdr:col>11</xdr:col>
      <xdr:colOff>479425</xdr:colOff>
      <xdr:row>17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11.857885648147" createdVersion="5" refreshedVersion="5" minRefreshableVersion="3" recordCount="25">
  <cacheSource type="worksheet">
    <worksheetSource ref="A1:C26" sheet="06_pareto_routes"/>
  </cacheSource>
  <cacheFields count="3">
    <cacheField name="route_id" numFmtId="0">
      <sharedItems containsSemiMixedTypes="0" containsString="0" containsNumber="1" containsInteger="1" minValue="1" maxValue="25" count="25">
        <n v="4"/>
        <n v="15"/>
        <n v="3"/>
        <n v="24"/>
        <n v="12"/>
        <n v="19"/>
        <n v="1"/>
        <n v="11"/>
        <n v="21"/>
        <n v="7"/>
        <n v="14"/>
        <n v="17"/>
        <n v="9"/>
        <n v="18"/>
        <n v="25"/>
        <n v="20"/>
        <n v="22"/>
        <n v="23"/>
        <n v="10"/>
        <n v="8"/>
        <n v="13"/>
        <n v="6"/>
        <n v="16"/>
        <n v="2"/>
        <n v="5"/>
      </sharedItems>
    </cacheField>
    <cacheField name="total_cost" numFmtId="0">
      <sharedItems containsSemiMixedTypes="0" containsString="0" containsNumber="1" containsInteger="1" minValue="345989" maxValue="247293170" count="25">
        <n v="247293170"/>
        <n v="36224745"/>
        <n v="18933550"/>
        <n v="15504275"/>
        <n v="11410984"/>
        <n v="10618580"/>
        <n v="4648316"/>
        <n v="4581042"/>
        <n v="4275309"/>
        <n v="3800225"/>
        <n v="2982724"/>
        <n v="2536549"/>
        <n v="2536096"/>
        <n v="2209529"/>
        <n v="2129244"/>
        <n v="1865400"/>
        <n v="1818907"/>
        <n v="1510663"/>
        <n v="1255965"/>
        <n v="1037071"/>
        <n v="882890"/>
        <n v="752285"/>
        <n v="510203"/>
        <n v="386898"/>
        <n v="345989"/>
      </sharedItems>
    </cacheField>
    <cacheField name="cumulative_pct_of_total" numFmtId="0">
      <sharedItems containsSemiMixedTypes="0" containsString="0" containsNumber="1" minValue="65.099999999999994" maxValue="100" count="25">
        <n v="65.099999999999994"/>
        <n v="74.599999999999994"/>
        <n v="79.599999999999994"/>
        <n v="83.7"/>
        <n v="86.7"/>
        <n v="89.5"/>
        <n v="90.7"/>
        <n v="91.9"/>
        <n v="93"/>
        <n v="94"/>
        <n v="94.8"/>
        <n v="95.5"/>
        <n v="96.1"/>
        <n v="96.7"/>
        <n v="97.3"/>
        <n v="97.8"/>
        <n v="98.2"/>
        <n v="98.6"/>
        <n v="99"/>
        <n v="99.2"/>
        <n v="99.5"/>
        <n v="99.7"/>
        <n v="99.8"/>
        <n v="99.9"/>
        <n v="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211.908543055557" createdVersion="5" refreshedVersion="5" minRefreshableVersion="3" recordCount="8">
  <cacheSource type="worksheet">
    <worksheetSource ref="A1:G9" sheet="04_supplier_scorecard"/>
  </cacheSource>
  <cacheFields count="7">
    <cacheField name="supplier_name" numFmtId="49">
      <sharedItems count="8">
        <s v="National Pipeline Services"/>
        <s v="Bharat Freight Carriers"/>
        <s v="Coastal Sea Movers"/>
        <s v="Suvidha Transport Co."/>
        <s v="IndRoad Logistics"/>
        <s v="Apex Tankers Pvt Ltd"/>
        <s v="Ganga Logistics Group"/>
        <s v="Trident Rail Cargo"/>
      </sharedItems>
    </cacheField>
    <cacheField name="mode_specialization" numFmtId="49">
      <sharedItems/>
    </cacheField>
    <cacheField name="total_shipments" numFmtId="0">
      <sharedItems containsSemiMixedTypes="0" containsString="0" containsNumber="1" containsInteger="1" minValue="20" maxValue="1025"/>
    </cacheField>
    <cacheField name="avg_delay" numFmtId="0">
      <sharedItems containsSemiMixedTypes="0" containsString="0" containsNumber="1" minValue="0.24" maxValue="4.03"/>
    </cacheField>
    <cacheField name="total_penalty_cost" numFmtId="0">
      <sharedItems containsSemiMixedTypes="0" containsString="0" containsNumber="1" containsInteger="1" minValue="670982" maxValue="159225209"/>
    </cacheField>
    <cacheField name="total_freight_spend" numFmtId="0">
      <sharedItems containsSemiMixedTypes="0" containsString="0" containsNumber="1" containsInteger="1" minValue="737033" maxValue="41777200"/>
    </cacheField>
    <cacheField name="penalty_pct_of_spend" numFmtId="0">
      <sharedItems containsSemiMixedTypes="0" containsString="0" containsNumber="1" minValue="21.5" maxValue="1512.53" count="8">
        <n v="1512.53"/>
        <n v="286.48"/>
        <n v="91.04"/>
        <n v="84.73"/>
        <n v="83.19"/>
        <n v="55.01"/>
        <n v="45.42"/>
        <n v="21.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  <r>
    <x v="7"/>
    <x v="7"/>
    <x v="7"/>
  </r>
  <r>
    <x v="8"/>
    <x v="8"/>
    <x v="8"/>
  </r>
  <r>
    <x v="9"/>
    <x v="9"/>
    <x v="9"/>
  </r>
  <r>
    <x v="10"/>
    <x v="10"/>
    <x v="10"/>
  </r>
  <r>
    <x v="11"/>
    <x v="11"/>
    <x v="11"/>
  </r>
  <r>
    <x v="12"/>
    <x v="12"/>
    <x v="12"/>
  </r>
  <r>
    <x v="13"/>
    <x v="13"/>
    <x v="13"/>
  </r>
  <r>
    <x v="14"/>
    <x v="14"/>
    <x v="14"/>
  </r>
  <r>
    <x v="15"/>
    <x v="15"/>
    <x v="15"/>
  </r>
  <r>
    <x v="16"/>
    <x v="16"/>
    <x v="16"/>
  </r>
  <r>
    <x v="17"/>
    <x v="17"/>
    <x v="17"/>
  </r>
  <r>
    <x v="18"/>
    <x v="18"/>
    <x v="18"/>
  </r>
  <r>
    <x v="19"/>
    <x v="19"/>
    <x v="19"/>
  </r>
  <r>
    <x v="20"/>
    <x v="20"/>
    <x v="20"/>
  </r>
  <r>
    <x v="21"/>
    <x v="21"/>
    <x v="21"/>
  </r>
  <r>
    <x v="22"/>
    <x v="22"/>
    <x v="22"/>
  </r>
  <r>
    <x v="23"/>
    <x v="23"/>
    <x v="23"/>
  </r>
  <r>
    <x v="24"/>
    <x v="24"/>
    <x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">
  <r>
    <x v="0"/>
    <s v="Pipeline"/>
    <n v="1025"/>
    <n v="3.26"/>
    <n v="159225209"/>
    <n v="10527097"/>
    <x v="0"/>
  </r>
  <r>
    <x v="1"/>
    <s v="Road"/>
    <n v="631"/>
    <n v="4.03"/>
    <n v="117630705"/>
    <n v="41061360"/>
    <x v="1"/>
  </r>
  <r>
    <x v="2"/>
    <s v="Sea"/>
    <n v="20"/>
    <n v="0.55000000000000004"/>
    <n v="670982"/>
    <n v="737033"/>
    <x v="2"/>
  </r>
  <r>
    <x v="3"/>
    <s v="Road"/>
    <n v="609"/>
    <n v="1.1499999999999999"/>
    <n v="34156051"/>
    <n v="40311300"/>
    <x v="3"/>
  </r>
  <r>
    <x v="4"/>
    <s v="Road"/>
    <n v="580"/>
    <n v="1.1299999999999999"/>
    <n v="31105746"/>
    <n v="37390187"/>
    <x v="4"/>
  </r>
  <r>
    <x v="5"/>
    <s v="Road"/>
    <n v="625"/>
    <n v="0.73"/>
    <n v="22981802"/>
    <n v="41777200"/>
    <x v="5"/>
  </r>
  <r>
    <x v="6"/>
    <s v="Rail"/>
    <n v="735"/>
    <n v="0.5"/>
    <n v="17433887"/>
    <n v="38387775"/>
    <x v="6"/>
  </r>
  <r>
    <x v="7"/>
    <s v="Rail"/>
    <n v="752"/>
    <n v="0.24"/>
    <n v="8295574"/>
    <n v="38591523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2">
  <location ref="A1:C27" firstHeaderRow="0" firstDataRow="1" firstDataCol="1"/>
  <pivotFields count="3">
    <pivotField axis="axisRow" showAll="0" sortType="descending">
      <items count="26">
        <item x="6"/>
        <item x="23"/>
        <item x="2"/>
        <item x="0"/>
        <item x="24"/>
        <item x="21"/>
        <item x="9"/>
        <item x="19"/>
        <item x="12"/>
        <item x="18"/>
        <item x="7"/>
        <item x="4"/>
        <item x="20"/>
        <item x="10"/>
        <item x="1"/>
        <item x="22"/>
        <item x="11"/>
        <item x="13"/>
        <item x="5"/>
        <item x="15"/>
        <item x="8"/>
        <item x="16"/>
        <item x="17"/>
        <item x="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</pivotFields>
  <rowFields count="1">
    <field x="0"/>
  </rowFields>
  <rowItems count="26">
    <i>
      <x v="3"/>
    </i>
    <i>
      <x v="14"/>
    </i>
    <i>
      <x v="2"/>
    </i>
    <i>
      <x v="23"/>
    </i>
    <i>
      <x v="11"/>
    </i>
    <i>
      <x v="18"/>
    </i>
    <i>
      <x/>
    </i>
    <i>
      <x v="10"/>
    </i>
    <i>
      <x v="20"/>
    </i>
    <i>
      <x v="6"/>
    </i>
    <i>
      <x v="13"/>
    </i>
    <i>
      <x v="16"/>
    </i>
    <i>
      <x v="8"/>
    </i>
    <i>
      <x v="17"/>
    </i>
    <i>
      <x v="24"/>
    </i>
    <i>
      <x v="19"/>
    </i>
    <i>
      <x v="21"/>
    </i>
    <i>
      <x v="22"/>
    </i>
    <i>
      <x v="9"/>
    </i>
    <i>
      <x v="7"/>
    </i>
    <i>
      <x v="12"/>
    </i>
    <i>
      <x v="5"/>
    </i>
    <i>
      <x v="15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cost" fld="1" baseField="0" baseItem="0"/>
    <dataField name="Average of cumulative_pct_of_total" fld="2" subtotal="average" baseField="0" baseItem="0"/>
  </dataField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7">
  <location ref="A1:C9" firstHeaderRow="0" firstDataRow="1" firstDataCol="1"/>
  <pivotFields count="7">
    <pivotField axis="axisRow" showAll="0" sortType="descending">
      <items count="9">
        <item x="7"/>
        <item x="3"/>
        <item h="1" x="0"/>
        <item x="4"/>
        <item x="6"/>
        <item x="2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>
      <items count="9"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8">
    <i>
      <x v="6"/>
    </i>
    <i>
      <x v="1"/>
    </i>
    <i>
      <x v="3"/>
    </i>
    <i>
      <x v="7"/>
    </i>
    <i>
      <x v="5"/>
    </i>
    <i>
      <x v="4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vg_delay" fld="3" subtotal="average" baseField="0" baseItem="1"/>
    <dataField name="Average of penalty_pct_of_spend" fld="6" subtotal="average" baseField="0" baseItem="0"/>
  </dataFields>
  <chartFormats count="4"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01_inventory_turnover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02_cost_per_tonkm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03_delay_by_route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03b_monsoon_delay" connectionId="4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04_supplier_scorecard" connectionId="5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05_warehouse_utilization" connectionId="6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06_pareto_routes" connectionId="7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07_monthly_cost_trend" connectionId="8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08_ontime_delivery" connectionId="9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09_demurrage_impact" connectionId="10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10_roadtopipeline_shift" connectionId="11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11_cost_component_breakdown" connectionId="1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4.5"/>
  <cols>
    <col min="1" max="1" width="15.90625" bestFit="1" customWidth="1"/>
    <col min="2" max="2" width="8.453125" bestFit="1" customWidth="1"/>
    <col min="3" max="3" width="13.81640625" bestFit="1" customWidth="1"/>
    <col min="4" max="4" width="12.54296875" bestFit="1" customWidth="1"/>
    <col min="5" max="5" width="22.1796875" bestFit="1" customWidth="1"/>
  </cols>
  <sheetData>
    <row r="1" spans="1:5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>
        <v>346884.6</v>
      </c>
      <c r="D2">
        <v>7803.3</v>
      </c>
      <c r="E2">
        <v>44.45</v>
      </c>
    </row>
    <row r="3" spans="1:5">
      <c r="A3" s="1" t="s">
        <v>7</v>
      </c>
      <c r="B3" s="1" t="s">
        <v>6</v>
      </c>
      <c r="C3">
        <v>841987.7</v>
      </c>
      <c r="D3">
        <v>18815.5</v>
      </c>
      <c r="E3">
        <v>44.75</v>
      </c>
    </row>
    <row r="4" spans="1:5">
      <c r="A4" s="1" t="s">
        <v>8</v>
      </c>
      <c r="B4" s="1" t="s">
        <v>9</v>
      </c>
      <c r="C4">
        <v>1804462.1</v>
      </c>
      <c r="D4">
        <v>40092.5</v>
      </c>
      <c r="E4">
        <v>45.01</v>
      </c>
    </row>
    <row r="5" spans="1:5">
      <c r="A5" s="1" t="s">
        <v>10</v>
      </c>
      <c r="B5" s="1" t="s">
        <v>11</v>
      </c>
      <c r="C5">
        <v>1090760.8</v>
      </c>
      <c r="D5">
        <v>24166.5</v>
      </c>
      <c r="E5">
        <v>45.14</v>
      </c>
    </row>
    <row r="6" spans="1:5">
      <c r="A6" s="1" t="s">
        <v>12</v>
      </c>
      <c r="B6" s="1" t="s">
        <v>13</v>
      </c>
      <c r="C6">
        <v>535900.30000000005</v>
      </c>
      <c r="D6">
        <v>11841.5</v>
      </c>
      <c r="E6">
        <v>45.26</v>
      </c>
    </row>
    <row r="7" spans="1:5">
      <c r="A7" s="1" t="s">
        <v>14</v>
      </c>
      <c r="B7" s="1" t="s">
        <v>9</v>
      </c>
      <c r="C7">
        <v>347901</v>
      </c>
      <c r="D7">
        <v>7685.7</v>
      </c>
      <c r="E7">
        <v>45.27</v>
      </c>
    </row>
    <row r="8" spans="1:5">
      <c r="A8" s="1" t="s">
        <v>15</v>
      </c>
      <c r="B8" s="1" t="s">
        <v>9</v>
      </c>
      <c r="C8">
        <v>1728371.1</v>
      </c>
      <c r="D8">
        <v>38145.199999999997</v>
      </c>
      <c r="E8">
        <v>45.31</v>
      </c>
    </row>
    <row r="9" spans="1:5">
      <c r="A9" s="1" t="s">
        <v>16</v>
      </c>
      <c r="B9" s="1" t="s">
        <v>9</v>
      </c>
      <c r="C9">
        <v>959493.5</v>
      </c>
      <c r="D9">
        <v>21136.9</v>
      </c>
      <c r="E9">
        <v>45.39</v>
      </c>
    </row>
    <row r="10" spans="1:5">
      <c r="A10" s="1" t="s">
        <v>17</v>
      </c>
      <c r="B10" s="1" t="s">
        <v>13</v>
      </c>
      <c r="C10">
        <v>513073.5</v>
      </c>
      <c r="D10">
        <v>11259.6</v>
      </c>
      <c r="E10">
        <v>45.57</v>
      </c>
    </row>
    <row r="11" spans="1:5">
      <c r="A11" s="1" t="s">
        <v>18</v>
      </c>
      <c r="B11" s="1" t="s">
        <v>6</v>
      </c>
      <c r="C11">
        <v>754080.3</v>
      </c>
      <c r="D11">
        <v>16525.599999999999</v>
      </c>
      <c r="E11">
        <v>45.63</v>
      </c>
    </row>
    <row r="12" spans="1:5">
      <c r="A12" s="1" t="s">
        <v>19</v>
      </c>
      <c r="B12" s="1" t="s">
        <v>11</v>
      </c>
      <c r="C12">
        <v>511441.2</v>
      </c>
      <c r="D12">
        <v>11198.2</v>
      </c>
      <c r="E12">
        <v>45.67</v>
      </c>
    </row>
    <row r="13" spans="1:5">
      <c r="A13" s="1" t="s">
        <v>20</v>
      </c>
      <c r="B13" s="1" t="s">
        <v>11</v>
      </c>
      <c r="C13">
        <v>742820.7</v>
      </c>
      <c r="D13">
        <v>16166</v>
      </c>
      <c r="E13">
        <v>45.95</v>
      </c>
    </row>
    <row r="14" spans="1:5">
      <c r="A14" s="1" t="s">
        <v>21</v>
      </c>
      <c r="B14" s="1" t="s">
        <v>6</v>
      </c>
      <c r="C14">
        <v>730398.2</v>
      </c>
      <c r="D14">
        <v>15829.6</v>
      </c>
      <c r="E14">
        <v>46.14</v>
      </c>
    </row>
    <row r="15" spans="1:5">
      <c r="A15" s="1" t="s">
        <v>22</v>
      </c>
      <c r="B15" s="1" t="s">
        <v>11</v>
      </c>
      <c r="C15">
        <v>751131.1</v>
      </c>
      <c r="D15">
        <v>16248.7</v>
      </c>
      <c r="E15">
        <v>46.23</v>
      </c>
    </row>
    <row r="16" spans="1:5">
      <c r="A16" s="1" t="s">
        <v>23</v>
      </c>
      <c r="B16" s="1" t="s">
        <v>9</v>
      </c>
      <c r="C16">
        <v>274374.5</v>
      </c>
      <c r="D16">
        <v>5894.1</v>
      </c>
      <c r="E16">
        <v>46.55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4.5"/>
  <cols>
    <col min="1" max="1" width="11.36328125" bestFit="1" customWidth="1"/>
    <col min="2" max="2" width="14.36328125" bestFit="1" customWidth="1"/>
    <col min="3" max="3" width="18" bestFit="1" customWidth="1"/>
    <col min="4" max="4" width="12" bestFit="1" customWidth="1"/>
    <col min="5" max="5" width="15.453125" bestFit="1" customWidth="1"/>
  </cols>
  <sheetData>
    <row r="1" spans="1:5">
      <c r="A1" s="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>
      <c r="A2" s="1" t="s">
        <v>29</v>
      </c>
      <c r="B2">
        <v>2457</v>
      </c>
      <c r="C2">
        <v>222607712</v>
      </c>
      <c r="D2">
        <v>3269094019</v>
      </c>
      <c r="E2">
        <v>6.8099999999999994E-2</v>
      </c>
    </row>
    <row r="3" spans="1:5">
      <c r="A3" s="1" t="s">
        <v>30</v>
      </c>
      <c r="B3">
        <v>1493</v>
      </c>
      <c r="C3">
        <v>131506754</v>
      </c>
      <c r="D3">
        <v>2902560973</v>
      </c>
      <c r="E3">
        <v>4.53E-2</v>
      </c>
    </row>
    <row r="4" spans="1:5">
      <c r="A4" s="1" t="s">
        <v>31</v>
      </c>
      <c r="B4">
        <v>20</v>
      </c>
      <c r="C4">
        <v>1436442</v>
      </c>
      <c r="D4">
        <v>37518846</v>
      </c>
      <c r="E4">
        <v>3.8300000000000001E-2</v>
      </c>
    </row>
    <row r="5" spans="1:5">
      <c r="A5" s="1" t="s">
        <v>32</v>
      </c>
      <c r="B5">
        <v>1030</v>
      </c>
      <c r="C5">
        <v>24499700</v>
      </c>
      <c r="D5">
        <v>736337285</v>
      </c>
      <c r="E5">
        <v>3.3300000000000003E-2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RowHeight="14.5"/>
  <cols>
    <col min="1" max="1" width="7.90625" bestFit="1" customWidth="1"/>
    <col min="2" max="2" width="11.26953125" bestFit="1" customWidth="1"/>
    <col min="3" max="3" width="11.08984375" bestFit="1" customWidth="1"/>
    <col min="4" max="4" width="14" bestFit="1" customWidth="1"/>
    <col min="5" max="5" width="14.453125" bestFit="1" customWidth="1"/>
    <col min="6" max="6" width="10" bestFit="1" customWidth="1"/>
  </cols>
  <sheetData>
    <row r="1" spans="1:6">
      <c r="A1" t="s">
        <v>33</v>
      </c>
      <c r="B1" t="s">
        <v>34</v>
      </c>
      <c r="C1" s="1" t="s">
        <v>35</v>
      </c>
      <c r="D1" t="s">
        <v>36</v>
      </c>
      <c r="E1" t="s">
        <v>37</v>
      </c>
      <c r="F1" t="s">
        <v>38</v>
      </c>
    </row>
    <row r="2" spans="1:6">
      <c r="A2">
        <v>22</v>
      </c>
      <c r="B2">
        <v>1330</v>
      </c>
      <c r="C2" s="1" t="s">
        <v>39</v>
      </c>
      <c r="D2">
        <v>3.23</v>
      </c>
      <c r="E2">
        <v>13</v>
      </c>
      <c r="F2">
        <v>1</v>
      </c>
    </row>
    <row r="3" spans="1:6">
      <c r="A3">
        <v>6</v>
      </c>
      <c r="B3">
        <v>482</v>
      </c>
      <c r="C3" s="1" t="s">
        <v>40</v>
      </c>
      <c r="D3">
        <v>2.79</v>
      </c>
      <c r="E3">
        <v>19</v>
      </c>
      <c r="F3">
        <v>2</v>
      </c>
    </row>
    <row r="4" spans="1:6">
      <c r="A4">
        <v>15</v>
      </c>
      <c r="B4">
        <v>225</v>
      </c>
      <c r="C4" s="1" t="s">
        <v>40</v>
      </c>
      <c r="D4">
        <v>2.52</v>
      </c>
      <c r="E4">
        <v>1669</v>
      </c>
      <c r="F4">
        <v>3</v>
      </c>
    </row>
    <row r="5" spans="1:6">
      <c r="A5">
        <v>5</v>
      </c>
      <c r="B5">
        <v>133</v>
      </c>
      <c r="C5" s="1" t="s">
        <v>40</v>
      </c>
      <c r="D5">
        <v>2.38</v>
      </c>
      <c r="E5">
        <v>26</v>
      </c>
      <c r="F5">
        <v>4</v>
      </c>
    </row>
    <row r="6" spans="1:6">
      <c r="A6">
        <v>11</v>
      </c>
      <c r="B6">
        <v>1642</v>
      </c>
      <c r="C6" s="1" t="s">
        <v>39</v>
      </c>
      <c r="D6">
        <v>2.0699999999999998</v>
      </c>
      <c r="E6">
        <v>27</v>
      </c>
      <c r="F6">
        <v>5</v>
      </c>
    </row>
    <row r="7" spans="1:6">
      <c r="A7">
        <v>3</v>
      </c>
      <c r="B7">
        <v>1058</v>
      </c>
      <c r="C7" s="1" t="s">
        <v>40</v>
      </c>
      <c r="D7">
        <v>1.9</v>
      </c>
      <c r="E7">
        <v>194</v>
      </c>
      <c r="F7">
        <v>6</v>
      </c>
    </row>
    <row r="8" spans="1:6">
      <c r="A8">
        <v>2</v>
      </c>
      <c r="B8">
        <v>92</v>
      </c>
      <c r="C8" s="1" t="s">
        <v>39</v>
      </c>
      <c r="D8">
        <v>1.89</v>
      </c>
      <c r="E8">
        <v>35</v>
      </c>
      <c r="F8">
        <v>7</v>
      </c>
    </row>
    <row r="9" spans="1:6">
      <c r="A9">
        <v>19</v>
      </c>
      <c r="B9">
        <v>1063</v>
      </c>
      <c r="C9" s="1" t="s">
        <v>41</v>
      </c>
      <c r="D9">
        <v>1.85</v>
      </c>
      <c r="E9">
        <v>104</v>
      </c>
      <c r="F9">
        <v>8</v>
      </c>
    </row>
    <row r="10" spans="1:6">
      <c r="A10">
        <v>8</v>
      </c>
      <c r="B10">
        <v>119</v>
      </c>
      <c r="C10" s="1" t="s">
        <v>40</v>
      </c>
      <c r="D10">
        <v>1.81</v>
      </c>
      <c r="E10">
        <v>68</v>
      </c>
      <c r="F10">
        <v>9</v>
      </c>
    </row>
    <row r="11" spans="1:6">
      <c r="A11">
        <v>18</v>
      </c>
      <c r="B11">
        <v>909</v>
      </c>
      <c r="C11" s="1" t="s">
        <v>39</v>
      </c>
      <c r="D11">
        <v>1.59</v>
      </c>
      <c r="E11">
        <v>29</v>
      </c>
      <c r="F11">
        <v>10</v>
      </c>
    </row>
    <row r="12" spans="1:6">
      <c r="A12">
        <v>12</v>
      </c>
      <c r="B12">
        <v>852</v>
      </c>
      <c r="C12" s="1" t="s">
        <v>40</v>
      </c>
      <c r="D12">
        <v>1.52</v>
      </c>
      <c r="E12">
        <v>155</v>
      </c>
      <c r="F12">
        <v>11</v>
      </c>
    </row>
    <row r="13" spans="1:6">
      <c r="A13">
        <v>20</v>
      </c>
      <c r="B13">
        <v>834</v>
      </c>
      <c r="C13" s="1" t="s">
        <v>40</v>
      </c>
      <c r="D13">
        <v>1.23</v>
      </c>
      <c r="E13">
        <v>22</v>
      </c>
      <c r="F13">
        <v>12</v>
      </c>
    </row>
    <row r="14" spans="1:6">
      <c r="A14">
        <v>24</v>
      </c>
      <c r="B14">
        <v>1718</v>
      </c>
      <c r="C14" s="1" t="s">
        <v>40</v>
      </c>
      <c r="D14">
        <v>1.21</v>
      </c>
      <c r="E14">
        <v>87</v>
      </c>
      <c r="F14">
        <v>13</v>
      </c>
    </row>
    <row r="15" spans="1:6">
      <c r="A15">
        <v>7</v>
      </c>
      <c r="B15">
        <v>1038</v>
      </c>
      <c r="C15" s="1" t="s">
        <v>39</v>
      </c>
      <c r="D15">
        <v>1.1000000000000001</v>
      </c>
      <c r="E15">
        <v>29</v>
      </c>
      <c r="F15">
        <v>14</v>
      </c>
    </row>
    <row r="16" spans="1:6">
      <c r="A16">
        <v>4</v>
      </c>
      <c r="B16">
        <v>1052</v>
      </c>
      <c r="C16" s="1" t="s">
        <v>39</v>
      </c>
      <c r="D16">
        <v>1.08</v>
      </c>
      <c r="E16">
        <v>2207</v>
      </c>
      <c r="F16">
        <v>15</v>
      </c>
    </row>
    <row r="17" spans="1:6">
      <c r="A17">
        <v>21</v>
      </c>
      <c r="B17">
        <v>1032</v>
      </c>
      <c r="C17" s="1" t="s">
        <v>40</v>
      </c>
      <c r="D17">
        <v>1.08</v>
      </c>
      <c r="E17">
        <v>37</v>
      </c>
      <c r="F17">
        <v>16</v>
      </c>
    </row>
    <row r="18" spans="1:6">
      <c r="A18">
        <v>13</v>
      </c>
      <c r="B18">
        <v>428</v>
      </c>
      <c r="C18" s="1" t="s">
        <v>40</v>
      </c>
      <c r="D18">
        <v>1.05</v>
      </c>
      <c r="E18">
        <v>20</v>
      </c>
      <c r="F18">
        <v>17</v>
      </c>
    </row>
    <row r="19" spans="1:6">
      <c r="A19">
        <v>25</v>
      </c>
      <c r="B19">
        <v>363</v>
      </c>
      <c r="C19" s="1" t="s">
        <v>40</v>
      </c>
      <c r="D19">
        <v>1.04</v>
      </c>
      <c r="E19">
        <v>50</v>
      </c>
      <c r="F19">
        <v>18</v>
      </c>
    </row>
    <row r="20" spans="1:6">
      <c r="A20">
        <v>1</v>
      </c>
      <c r="B20">
        <v>746</v>
      </c>
      <c r="C20" s="1" t="s">
        <v>40</v>
      </c>
      <c r="D20">
        <v>0.95</v>
      </c>
      <c r="E20">
        <v>59</v>
      </c>
      <c r="F20">
        <v>19</v>
      </c>
    </row>
    <row r="21" spans="1:6">
      <c r="A21">
        <v>16</v>
      </c>
      <c r="B21">
        <v>328</v>
      </c>
      <c r="C21" s="1" t="s">
        <v>40</v>
      </c>
      <c r="D21">
        <v>0.94</v>
      </c>
      <c r="E21">
        <v>18</v>
      </c>
      <c r="F21">
        <v>20</v>
      </c>
    </row>
    <row r="22" spans="1:6">
      <c r="A22">
        <v>10</v>
      </c>
      <c r="B22">
        <v>598</v>
      </c>
      <c r="C22" s="1" t="s">
        <v>39</v>
      </c>
      <c r="D22">
        <v>0.89</v>
      </c>
      <c r="E22">
        <v>19</v>
      </c>
      <c r="F22">
        <v>21</v>
      </c>
    </row>
    <row r="23" spans="1:6">
      <c r="A23">
        <v>17</v>
      </c>
      <c r="B23">
        <v>1079</v>
      </c>
      <c r="C23" s="1" t="s">
        <v>40</v>
      </c>
      <c r="D23">
        <v>0.76</v>
      </c>
      <c r="E23">
        <v>25</v>
      </c>
      <c r="F23">
        <v>22</v>
      </c>
    </row>
    <row r="24" spans="1:6">
      <c r="A24">
        <v>9</v>
      </c>
      <c r="B24">
        <v>941</v>
      </c>
      <c r="C24" s="1" t="s">
        <v>40</v>
      </c>
      <c r="D24">
        <v>0.63</v>
      </c>
      <c r="E24">
        <v>24</v>
      </c>
      <c r="F24">
        <v>23</v>
      </c>
    </row>
    <row r="25" spans="1:6">
      <c r="A25">
        <v>14</v>
      </c>
      <c r="B25">
        <v>1384</v>
      </c>
      <c r="C25" s="1" t="s">
        <v>39</v>
      </c>
      <c r="D25">
        <v>0.55000000000000004</v>
      </c>
      <c r="E25">
        <v>22</v>
      </c>
      <c r="F25">
        <v>24</v>
      </c>
    </row>
    <row r="26" spans="1:6">
      <c r="A26">
        <v>23</v>
      </c>
      <c r="B26">
        <v>1034</v>
      </c>
      <c r="C26" s="1" t="s">
        <v>40</v>
      </c>
      <c r="D26">
        <v>0.42</v>
      </c>
      <c r="E26">
        <v>19</v>
      </c>
      <c r="F26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4.5"/>
  <cols>
    <col min="1" max="1" width="11.36328125" bestFit="1" customWidth="1"/>
    <col min="2" max="2" width="11" bestFit="1" customWidth="1"/>
    <col min="3" max="3" width="14" bestFit="1" customWidth="1"/>
    <col min="4" max="4" width="14.453125" bestFit="1" customWidth="1"/>
  </cols>
  <sheetData>
    <row r="1" spans="1:4">
      <c r="A1" s="1" t="s">
        <v>24</v>
      </c>
      <c r="B1" t="s">
        <v>42</v>
      </c>
      <c r="C1" t="s">
        <v>36</v>
      </c>
      <c r="D1" t="s">
        <v>37</v>
      </c>
    </row>
    <row r="2" spans="1:4">
      <c r="A2" s="1" t="s">
        <v>32</v>
      </c>
      <c r="B2">
        <v>0</v>
      </c>
      <c r="C2">
        <v>3.25</v>
      </c>
      <c r="D2">
        <v>733</v>
      </c>
    </row>
    <row r="3" spans="1:4">
      <c r="A3" s="1" t="s">
        <v>32</v>
      </c>
      <c r="B3">
        <v>1</v>
      </c>
      <c r="C3">
        <v>3.3</v>
      </c>
      <c r="D3">
        <v>292</v>
      </c>
    </row>
    <row r="4" spans="1:4">
      <c r="A4" s="1" t="s">
        <v>30</v>
      </c>
      <c r="B4">
        <v>0</v>
      </c>
      <c r="C4">
        <v>0.28000000000000003</v>
      </c>
      <c r="D4">
        <v>1078</v>
      </c>
    </row>
    <row r="5" spans="1:4">
      <c r="A5" s="1" t="s">
        <v>30</v>
      </c>
      <c r="B5">
        <v>1</v>
      </c>
      <c r="C5">
        <v>0.61</v>
      </c>
      <c r="D5">
        <v>409</v>
      </c>
    </row>
    <row r="6" spans="1:4">
      <c r="A6" s="1" t="s">
        <v>29</v>
      </c>
      <c r="B6">
        <v>0</v>
      </c>
      <c r="C6">
        <v>1.07</v>
      </c>
      <c r="D6">
        <v>1768</v>
      </c>
    </row>
    <row r="7" spans="1:4">
      <c r="A7" s="1" t="s">
        <v>29</v>
      </c>
      <c r="B7">
        <v>1</v>
      </c>
      <c r="C7">
        <v>3.63</v>
      </c>
      <c r="D7">
        <v>677</v>
      </c>
    </row>
    <row r="8" spans="1:4">
      <c r="A8" s="1" t="s">
        <v>31</v>
      </c>
      <c r="B8">
        <v>0</v>
      </c>
      <c r="C8">
        <v>0.67</v>
      </c>
      <c r="D8">
        <v>15</v>
      </c>
    </row>
    <row r="9" spans="1:4">
      <c r="A9" s="1" t="s">
        <v>31</v>
      </c>
      <c r="B9">
        <v>1</v>
      </c>
      <c r="C9">
        <v>0.2</v>
      </c>
      <c r="D9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F14" sqref="F14"/>
    </sheetView>
  </sheetViews>
  <sheetFormatPr defaultRowHeight="14.5"/>
  <cols>
    <col min="1" max="1" width="22.1796875" bestFit="1" customWidth="1"/>
    <col min="2" max="2" width="18" bestFit="1" customWidth="1"/>
    <col min="3" max="3" width="14.36328125" bestFit="1" customWidth="1"/>
    <col min="4" max="4" width="9.08984375" bestFit="1" customWidth="1"/>
    <col min="5" max="5" width="16.26953125" bestFit="1" customWidth="1"/>
    <col min="6" max="6" width="17.36328125" bestFit="1" customWidth="1"/>
    <col min="7" max="7" width="19.54296875" bestFit="1" customWidth="1"/>
  </cols>
  <sheetData>
    <row r="1" spans="1:7">
      <c r="A1" s="1" t="s">
        <v>43</v>
      </c>
      <c r="B1" s="1" t="s">
        <v>44</v>
      </c>
      <c r="C1" t="s">
        <v>25</v>
      </c>
      <c r="D1" t="s">
        <v>45</v>
      </c>
      <c r="E1" t="s">
        <v>46</v>
      </c>
      <c r="F1" t="s">
        <v>47</v>
      </c>
      <c r="G1" t="s">
        <v>48</v>
      </c>
    </row>
    <row r="2" spans="1:7">
      <c r="A2" s="1" t="s">
        <v>49</v>
      </c>
      <c r="B2" s="1" t="s">
        <v>32</v>
      </c>
      <c r="C2">
        <v>1025</v>
      </c>
      <c r="D2">
        <v>3.26</v>
      </c>
      <c r="E2">
        <v>159225209</v>
      </c>
      <c r="F2">
        <v>10527097</v>
      </c>
      <c r="G2">
        <v>1512.53</v>
      </c>
    </row>
    <row r="3" spans="1:7">
      <c r="A3" s="1" t="s">
        <v>50</v>
      </c>
      <c r="B3" s="1" t="s">
        <v>29</v>
      </c>
      <c r="C3">
        <v>631</v>
      </c>
      <c r="D3">
        <v>4.03</v>
      </c>
      <c r="E3">
        <v>117630705</v>
      </c>
      <c r="F3">
        <v>41061360</v>
      </c>
      <c r="G3">
        <v>286.48</v>
      </c>
    </row>
    <row r="4" spans="1:7">
      <c r="A4" s="1" t="s">
        <v>51</v>
      </c>
      <c r="B4" s="1" t="s">
        <v>31</v>
      </c>
      <c r="C4">
        <v>20</v>
      </c>
      <c r="D4">
        <v>0.55000000000000004</v>
      </c>
      <c r="E4">
        <v>670982</v>
      </c>
      <c r="F4">
        <v>737033</v>
      </c>
      <c r="G4">
        <v>91.04</v>
      </c>
    </row>
    <row r="5" spans="1:7">
      <c r="A5" s="1" t="s">
        <v>52</v>
      </c>
      <c r="B5" s="1" t="s">
        <v>29</v>
      </c>
      <c r="C5">
        <v>609</v>
      </c>
      <c r="D5">
        <v>1.1499999999999999</v>
      </c>
      <c r="E5">
        <v>34156051</v>
      </c>
      <c r="F5">
        <v>40311300</v>
      </c>
      <c r="G5">
        <v>84.73</v>
      </c>
    </row>
    <row r="6" spans="1:7">
      <c r="A6" s="1" t="s">
        <v>53</v>
      </c>
      <c r="B6" s="1" t="s">
        <v>29</v>
      </c>
      <c r="C6">
        <v>580</v>
      </c>
      <c r="D6">
        <v>1.1299999999999999</v>
      </c>
      <c r="E6">
        <v>31105746</v>
      </c>
      <c r="F6">
        <v>37390187</v>
      </c>
      <c r="G6">
        <v>83.19</v>
      </c>
    </row>
    <row r="7" spans="1:7">
      <c r="A7" s="1" t="s">
        <v>54</v>
      </c>
      <c r="B7" s="1" t="s">
        <v>29</v>
      </c>
      <c r="C7">
        <v>625</v>
      </c>
      <c r="D7">
        <v>0.73</v>
      </c>
      <c r="E7">
        <v>22981802</v>
      </c>
      <c r="F7">
        <v>41777200</v>
      </c>
      <c r="G7">
        <v>55.01</v>
      </c>
    </row>
    <row r="8" spans="1:7">
      <c r="A8" s="1" t="s">
        <v>55</v>
      </c>
      <c r="B8" s="1" t="s">
        <v>30</v>
      </c>
      <c r="C8">
        <v>735</v>
      </c>
      <c r="D8">
        <v>0.5</v>
      </c>
      <c r="E8">
        <v>17433887</v>
      </c>
      <c r="F8">
        <v>38387775</v>
      </c>
      <c r="G8">
        <v>45.42</v>
      </c>
    </row>
    <row r="9" spans="1:7">
      <c r="A9" s="1" t="s">
        <v>56</v>
      </c>
      <c r="B9" s="1" t="s">
        <v>30</v>
      </c>
      <c r="C9">
        <v>752</v>
      </c>
      <c r="D9">
        <v>0.24</v>
      </c>
      <c r="E9">
        <v>8295574</v>
      </c>
      <c r="F9">
        <v>38591523</v>
      </c>
      <c r="G9">
        <v>21.5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4.5"/>
  <cols>
    <col min="1" max="1" width="15.90625" bestFit="1" customWidth="1"/>
    <col min="2" max="2" width="8.453125" bestFit="1" customWidth="1"/>
    <col min="3" max="3" width="12.1796875" bestFit="1" customWidth="1"/>
    <col min="4" max="4" width="15.6328125" bestFit="1" customWidth="1"/>
    <col min="5" max="5" width="16.453125" bestFit="1" customWidth="1"/>
    <col min="6" max="6" width="13.08984375" bestFit="1" customWidth="1"/>
  </cols>
  <sheetData>
    <row r="1" spans="1:6">
      <c r="A1" s="1" t="s">
        <v>0</v>
      </c>
      <c r="B1" s="1" t="s">
        <v>1</v>
      </c>
      <c r="C1" t="s">
        <v>57</v>
      </c>
      <c r="D1" t="s">
        <v>58</v>
      </c>
      <c r="E1" t="s">
        <v>59</v>
      </c>
      <c r="F1" s="1" t="s">
        <v>60</v>
      </c>
    </row>
    <row r="2" spans="1:6">
      <c r="A2" s="1" t="s">
        <v>19</v>
      </c>
      <c r="B2" s="1" t="s">
        <v>11</v>
      </c>
      <c r="C2">
        <v>12791</v>
      </c>
      <c r="D2">
        <v>11202</v>
      </c>
      <c r="E2">
        <v>87.6</v>
      </c>
      <c r="F2" s="1" t="s">
        <v>61</v>
      </c>
    </row>
    <row r="3" spans="1:6">
      <c r="A3" s="1" t="s">
        <v>8</v>
      </c>
      <c r="B3" s="1" t="s">
        <v>9</v>
      </c>
      <c r="C3">
        <v>47514</v>
      </c>
      <c r="D3">
        <v>40107.800000000003</v>
      </c>
      <c r="E3">
        <v>84.4</v>
      </c>
      <c r="F3" s="1" t="s">
        <v>62</v>
      </c>
    </row>
    <row r="4" spans="1:6">
      <c r="A4" s="1" t="s">
        <v>15</v>
      </c>
      <c r="B4" s="1" t="s">
        <v>9</v>
      </c>
      <c r="C4">
        <v>45308</v>
      </c>
      <c r="D4">
        <v>38129.4</v>
      </c>
      <c r="E4">
        <v>84.2</v>
      </c>
      <c r="F4" s="1" t="s">
        <v>62</v>
      </c>
    </row>
    <row r="5" spans="1:6">
      <c r="A5" s="1" t="s">
        <v>7</v>
      </c>
      <c r="B5" s="1" t="s">
        <v>6</v>
      </c>
      <c r="C5">
        <v>22391</v>
      </c>
      <c r="D5">
        <v>18810.5</v>
      </c>
      <c r="E5">
        <v>84</v>
      </c>
      <c r="F5" s="1" t="s">
        <v>62</v>
      </c>
    </row>
    <row r="6" spans="1:6">
      <c r="A6" s="1" t="s">
        <v>16</v>
      </c>
      <c r="B6" s="1" t="s">
        <v>9</v>
      </c>
      <c r="C6">
        <v>28925</v>
      </c>
      <c r="D6">
        <v>21135</v>
      </c>
      <c r="E6">
        <v>73.099999999999994</v>
      </c>
      <c r="F6" s="1" t="s">
        <v>62</v>
      </c>
    </row>
    <row r="7" spans="1:6">
      <c r="A7" s="1" t="s">
        <v>14</v>
      </c>
      <c r="B7" s="1" t="s">
        <v>9</v>
      </c>
      <c r="C7">
        <v>11531</v>
      </c>
      <c r="D7">
        <v>7684.5</v>
      </c>
      <c r="E7">
        <v>66.599999999999994</v>
      </c>
      <c r="F7" s="1" t="s">
        <v>62</v>
      </c>
    </row>
    <row r="8" spans="1:6">
      <c r="A8" s="1" t="s">
        <v>5</v>
      </c>
      <c r="B8" s="1" t="s">
        <v>6</v>
      </c>
      <c r="C8">
        <v>11969</v>
      </c>
      <c r="D8">
        <v>7803.2</v>
      </c>
      <c r="E8">
        <v>65.2</v>
      </c>
      <c r="F8" s="1" t="s">
        <v>62</v>
      </c>
    </row>
    <row r="9" spans="1:6">
      <c r="A9" s="1" t="s">
        <v>12</v>
      </c>
      <c r="B9" s="1" t="s">
        <v>13</v>
      </c>
      <c r="C9">
        <v>18476</v>
      </c>
      <c r="D9">
        <v>11845.1</v>
      </c>
      <c r="E9">
        <v>64.099999999999994</v>
      </c>
      <c r="F9" s="1" t="s">
        <v>62</v>
      </c>
    </row>
    <row r="10" spans="1:6">
      <c r="A10" s="1" t="s">
        <v>18</v>
      </c>
      <c r="B10" s="1" t="s">
        <v>6</v>
      </c>
      <c r="C10">
        <v>27065</v>
      </c>
      <c r="D10">
        <v>16528.599999999999</v>
      </c>
      <c r="E10">
        <v>61.1</v>
      </c>
      <c r="F10" s="1" t="s">
        <v>62</v>
      </c>
    </row>
    <row r="11" spans="1:6">
      <c r="A11" s="1" t="s">
        <v>21</v>
      </c>
      <c r="B11" s="1" t="s">
        <v>6</v>
      </c>
      <c r="C11">
        <v>34018</v>
      </c>
      <c r="D11">
        <v>15835.7</v>
      </c>
      <c r="E11">
        <v>46.6</v>
      </c>
      <c r="F11" s="1" t="s">
        <v>62</v>
      </c>
    </row>
    <row r="12" spans="1:6">
      <c r="A12" s="1" t="s">
        <v>23</v>
      </c>
      <c r="B12" s="1" t="s">
        <v>9</v>
      </c>
      <c r="C12">
        <v>13055</v>
      </c>
      <c r="D12">
        <v>5893.8</v>
      </c>
      <c r="E12">
        <v>45.1</v>
      </c>
      <c r="F12" s="1" t="s">
        <v>62</v>
      </c>
    </row>
    <row r="13" spans="1:6">
      <c r="A13" s="1" t="s">
        <v>22</v>
      </c>
      <c r="B13" s="1" t="s">
        <v>11</v>
      </c>
      <c r="C13">
        <v>36421</v>
      </c>
      <c r="D13">
        <v>16249.3</v>
      </c>
      <c r="E13">
        <v>44.6</v>
      </c>
      <c r="F13" s="1" t="s">
        <v>62</v>
      </c>
    </row>
    <row r="14" spans="1:6">
      <c r="A14" s="1" t="s">
        <v>10</v>
      </c>
      <c r="B14" s="1" t="s">
        <v>11</v>
      </c>
      <c r="C14">
        <v>56895</v>
      </c>
      <c r="D14">
        <v>24170.2</v>
      </c>
      <c r="E14">
        <v>42.5</v>
      </c>
      <c r="F14" s="1" t="s">
        <v>62</v>
      </c>
    </row>
    <row r="15" spans="1:6">
      <c r="A15" s="1" t="s">
        <v>20</v>
      </c>
      <c r="B15" s="1" t="s">
        <v>11</v>
      </c>
      <c r="C15">
        <v>43696</v>
      </c>
      <c r="D15">
        <v>16167.7</v>
      </c>
      <c r="E15">
        <v>37</v>
      </c>
      <c r="F15" s="1" t="s">
        <v>63</v>
      </c>
    </row>
    <row r="16" spans="1:6">
      <c r="A16" s="1" t="s">
        <v>17</v>
      </c>
      <c r="B16" s="1" t="s">
        <v>13</v>
      </c>
      <c r="C16">
        <v>42037</v>
      </c>
      <c r="D16">
        <v>11258.7</v>
      </c>
      <c r="E16">
        <v>26.8</v>
      </c>
      <c r="F16" s="1" t="s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L12" sqref="L12"/>
    </sheetView>
  </sheetViews>
  <sheetFormatPr defaultRowHeight="14.5"/>
  <cols>
    <col min="1" max="1" width="7.90625" bestFit="1" customWidth="1"/>
    <col min="2" max="2" width="9.81640625" bestFit="1" customWidth="1"/>
    <col min="3" max="3" width="21.26953125" bestFit="1" customWidth="1"/>
  </cols>
  <sheetData>
    <row r="1" spans="1:3">
      <c r="A1" t="s">
        <v>33</v>
      </c>
      <c r="B1" t="s">
        <v>64</v>
      </c>
      <c r="C1" t="s">
        <v>65</v>
      </c>
    </row>
    <row r="2" spans="1:3">
      <c r="A2">
        <v>4</v>
      </c>
      <c r="B2">
        <v>247293170</v>
      </c>
      <c r="C2">
        <v>65.099999999999994</v>
      </c>
    </row>
    <row r="3" spans="1:3">
      <c r="A3">
        <v>15</v>
      </c>
      <c r="B3">
        <v>36224745</v>
      </c>
      <c r="C3">
        <v>74.599999999999994</v>
      </c>
    </row>
    <row r="4" spans="1:3">
      <c r="A4">
        <v>3</v>
      </c>
      <c r="B4">
        <v>18933550</v>
      </c>
      <c r="C4">
        <v>79.599999999999994</v>
      </c>
    </row>
    <row r="5" spans="1:3">
      <c r="A5">
        <v>24</v>
      </c>
      <c r="B5">
        <v>15504275</v>
      </c>
      <c r="C5">
        <v>83.7</v>
      </c>
    </row>
    <row r="6" spans="1:3">
      <c r="A6">
        <v>12</v>
      </c>
      <c r="B6">
        <v>11410984</v>
      </c>
      <c r="C6">
        <v>86.7</v>
      </c>
    </row>
    <row r="7" spans="1:3">
      <c r="A7">
        <v>19</v>
      </c>
      <c r="B7">
        <v>10618580</v>
      </c>
      <c r="C7">
        <v>89.5</v>
      </c>
    </row>
    <row r="8" spans="1:3">
      <c r="A8">
        <v>1</v>
      </c>
      <c r="B8">
        <v>4648316</v>
      </c>
      <c r="C8">
        <v>90.7</v>
      </c>
    </row>
    <row r="9" spans="1:3">
      <c r="A9">
        <v>11</v>
      </c>
      <c r="B9">
        <v>4581042</v>
      </c>
      <c r="C9">
        <v>91.9</v>
      </c>
    </row>
    <row r="10" spans="1:3">
      <c r="A10">
        <v>21</v>
      </c>
      <c r="B10">
        <v>4275309</v>
      </c>
      <c r="C10">
        <v>93</v>
      </c>
    </row>
    <row r="11" spans="1:3">
      <c r="A11">
        <v>7</v>
      </c>
      <c r="B11">
        <v>3800225</v>
      </c>
      <c r="C11">
        <v>94</v>
      </c>
    </row>
    <row r="12" spans="1:3">
      <c r="A12">
        <v>14</v>
      </c>
      <c r="B12">
        <v>2982724</v>
      </c>
      <c r="C12">
        <v>94.8</v>
      </c>
    </row>
    <row r="13" spans="1:3">
      <c r="A13">
        <v>17</v>
      </c>
      <c r="B13">
        <v>2536549</v>
      </c>
      <c r="C13">
        <v>95.5</v>
      </c>
    </row>
    <row r="14" spans="1:3">
      <c r="A14">
        <v>9</v>
      </c>
      <c r="B14">
        <v>2536096</v>
      </c>
      <c r="C14">
        <v>96.1</v>
      </c>
    </row>
    <row r="15" spans="1:3">
      <c r="A15">
        <v>18</v>
      </c>
      <c r="B15">
        <v>2209529</v>
      </c>
      <c r="C15">
        <v>96.7</v>
      </c>
    </row>
    <row r="16" spans="1:3">
      <c r="A16">
        <v>25</v>
      </c>
      <c r="B16">
        <v>2129244</v>
      </c>
      <c r="C16">
        <v>97.3</v>
      </c>
    </row>
    <row r="17" spans="1:3">
      <c r="A17">
        <v>20</v>
      </c>
      <c r="B17">
        <v>1865400</v>
      </c>
      <c r="C17">
        <v>97.8</v>
      </c>
    </row>
    <row r="18" spans="1:3">
      <c r="A18">
        <v>22</v>
      </c>
      <c r="B18">
        <v>1818907</v>
      </c>
      <c r="C18">
        <v>98.2</v>
      </c>
    </row>
    <row r="19" spans="1:3">
      <c r="A19">
        <v>23</v>
      </c>
      <c r="B19">
        <v>1510663</v>
      </c>
      <c r="C19">
        <v>98.6</v>
      </c>
    </row>
    <row r="20" spans="1:3">
      <c r="A20">
        <v>10</v>
      </c>
      <c r="B20">
        <v>1255965</v>
      </c>
      <c r="C20">
        <v>99</v>
      </c>
    </row>
    <row r="21" spans="1:3">
      <c r="A21">
        <v>8</v>
      </c>
      <c r="B21">
        <v>1037071</v>
      </c>
      <c r="C21">
        <v>99.2</v>
      </c>
    </row>
    <row r="22" spans="1:3">
      <c r="A22">
        <v>13</v>
      </c>
      <c r="B22">
        <v>882890</v>
      </c>
      <c r="C22">
        <v>99.5</v>
      </c>
    </row>
    <row r="23" spans="1:3">
      <c r="A23">
        <v>6</v>
      </c>
      <c r="B23">
        <v>752285</v>
      </c>
      <c r="C23">
        <v>99.7</v>
      </c>
    </row>
    <row r="24" spans="1:3">
      <c r="A24">
        <v>16</v>
      </c>
      <c r="B24">
        <v>510203</v>
      </c>
      <c r="C24">
        <v>99.8</v>
      </c>
    </row>
    <row r="25" spans="1:3">
      <c r="A25">
        <v>2</v>
      </c>
      <c r="B25">
        <v>386898</v>
      </c>
      <c r="C25">
        <v>99.9</v>
      </c>
    </row>
    <row r="26" spans="1:3">
      <c r="A26">
        <v>5</v>
      </c>
      <c r="B26">
        <v>345989</v>
      </c>
      <c r="C26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4.5"/>
  <cols>
    <col min="1" max="1" width="4.81640625" bestFit="1" customWidth="1"/>
    <col min="2" max="2" width="6.36328125" bestFit="1" customWidth="1"/>
    <col min="3" max="3" width="12.08984375" bestFit="1" customWidth="1"/>
    <col min="4" max="5" width="16.54296875" bestFit="1" customWidth="1"/>
    <col min="6" max="6" width="11.81640625" bestFit="1" customWidth="1"/>
  </cols>
  <sheetData>
    <row r="1" spans="1:6">
      <c r="A1" t="s">
        <v>66</v>
      </c>
      <c r="B1" t="s">
        <v>67</v>
      </c>
      <c r="C1" s="1" t="s">
        <v>68</v>
      </c>
      <c r="D1" t="s">
        <v>69</v>
      </c>
      <c r="E1" t="s">
        <v>70</v>
      </c>
      <c r="F1" t="s">
        <v>71</v>
      </c>
    </row>
    <row r="2" spans="1:6">
      <c r="A2">
        <v>2024</v>
      </c>
      <c r="B2">
        <v>1</v>
      </c>
      <c r="C2" s="1" t="s">
        <v>72</v>
      </c>
      <c r="D2">
        <v>62613234</v>
      </c>
      <c r="E2">
        <v>543470</v>
      </c>
      <c r="F2">
        <v>115.21</v>
      </c>
    </row>
    <row r="3" spans="1:6">
      <c r="A3">
        <v>2024</v>
      </c>
      <c r="B3">
        <v>2</v>
      </c>
      <c r="C3" s="1" t="s">
        <v>73</v>
      </c>
      <c r="D3">
        <v>48891083</v>
      </c>
      <c r="E3">
        <v>425029</v>
      </c>
      <c r="F3">
        <v>115.03</v>
      </c>
    </row>
    <row r="4" spans="1:6">
      <c r="A4">
        <v>2024</v>
      </c>
      <c r="B4">
        <v>3</v>
      </c>
      <c r="C4" s="1" t="s">
        <v>74</v>
      </c>
      <c r="D4">
        <v>62842476</v>
      </c>
      <c r="E4">
        <v>550967</v>
      </c>
      <c r="F4">
        <v>114.06</v>
      </c>
    </row>
    <row r="5" spans="1:6">
      <c r="A5">
        <v>2024</v>
      </c>
      <c r="B5">
        <v>4</v>
      </c>
      <c r="C5" s="1" t="s">
        <v>75</v>
      </c>
      <c r="D5">
        <v>61169969</v>
      </c>
      <c r="E5">
        <v>507706</v>
      </c>
      <c r="F5">
        <v>120.48</v>
      </c>
    </row>
    <row r="6" spans="1:6">
      <c r="A6">
        <v>2024</v>
      </c>
      <c r="B6">
        <v>5</v>
      </c>
      <c r="C6" s="1" t="s">
        <v>76</v>
      </c>
      <c r="D6">
        <v>55588857</v>
      </c>
      <c r="E6">
        <v>492922</v>
      </c>
      <c r="F6">
        <v>112.77</v>
      </c>
    </row>
    <row r="7" spans="1:6">
      <c r="A7">
        <v>2024</v>
      </c>
      <c r="B7">
        <v>6</v>
      </c>
      <c r="C7" s="1" t="s">
        <v>77</v>
      </c>
      <c r="D7">
        <v>77688098</v>
      </c>
      <c r="E7">
        <v>527222</v>
      </c>
      <c r="F7">
        <v>147.35</v>
      </c>
    </row>
    <row r="8" spans="1:6">
      <c r="A8">
        <v>2024</v>
      </c>
      <c r="B8">
        <v>7</v>
      </c>
      <c r="C8" s="1" t="s">
        <v>78</v>
      </c>
      <c r="D8">
        <v>85325586</v>
      </c>
      <c r="E8">
        <v>537670</v>
      </c>
      <c r="F8">
        <v>158.69999999999999</v>
      </c>
    </row>
    <row r="9" spans="1:6">
      <c r="A9">
        <v>2024</v>
      </c>
      <c r="B9">
        <v>8</v>
      </c>
      <c r="C9" s="1" t="s">
        <v>79</v>
      </c>
      <c r="D9">
        <v>78062414</v>
      </c>
      <c r="E9">
        <v>532949</v>
      </c>
      <c r="F9">
        <v>146.47</v>
      </c>
    </row>
    <row r="10" spans="1:6">
      <c r="A10">
        <v>2024</v>
      </c>
      <c r="B10">
        <v>9</v>
      </c>
      <c r="C10" s="1" t="s">
        <v>80</v>
      </c>
      <c r="D10">
        <v>73654711</v>
      </c>
      <c r="E10">
        <v>514150</v>
      </c>
      <c r="F10">
        <v>143.26</v>
      </c>
    </row>
    <row r="11" spans="1:6">
      <c r="A11">
        <v>2024</v>
      </c>
      <c r="B11">
        <v>10</v>
      </c>
      <c r="C11" s="1" t="s">
        <v>81</v>
      </c>
      <c r="D11">
        <v>59333078</v>
      </c>
      <c r="E11">
        <v>532513</v>
      </c>
      <c r="F11">
        <v>111.42</v>
      </c>
    </row>
    <row r="12" spans="1:6">
      <c r="A12">
        <v>2024</v>
      </c>
      <c r="B12">
        <v>11</v>
      </c>
      <c r="C12" s="1" t="s">
        <v>82</v>
      </c>
      <c r="D12">
        <v>61244047</v>
      </c>
      <c r="E12">
        <v>534738</v>
      </c>
      <c r="F12">
        <v>114.53</v>
      </c>
    </row>
    <row r="13" spans="1:6">
      <c r="A13">
        <v>2024</v>
      </c>
      <c r="B13">
        <v>12</v>
      </c>
      <c r="C13" s="1" t="s">
        <v>83</v>
      </c>
      <c r="D13">
        <v>62409131</v>
      </c>
      <c r="E13">
        <v>557852</v>
      </c>
      <c r="F13">
        <v>111.87</v>
      </c>
    </row>
    <row r="14" spans="1:6">
      <c r="A14">
        <v>2025</v>
      </c>
      <c r="B14">
        <v>1</v>
      </c>
      <c r="C14" s="1" t="s">
        <v>72</v>
      </c>
      <c r="D14">
        <v>61317494</v>
      </c>
      <c r="E14">
        <v>535722</v>
      </c>
      <c r="F14">
        <v>114.46</v>
      </c>
    </row>
    <row r="15" spans="1:6">
      <c r="A15">
        <v>2025</v>
      </c>
      <c r="B15">
        <v>2</v>
      </c>
      <c r="C15" s="1" t="s">
        <v>73</v>
      </c>
      <c r="D15">
        <v>50074037</v>
      </c>
      <c r="E15">
        <v>449143</v>
      </c>
      <c r="F15">
        <v>111.49</v>
      </c>
    </row>
    <row r="16" spans="1:6">
      <c r="A16">
        <v>2025</v>
      </c>
      <c r="B16">
        <v>3</v>
      </c>
      <c r="C16" s="1" t="s">
        <v>74</v>
      </c>
      <c r="D16">
        <v>60217052</v>
      </c>
      <c r="E16">
        <v>518940</v>
      </c>
      <c r="F16">
        <v>116.04</v>
      </c>
    </row>
    <row r="17" spans="1:6">
      <c r="A17">
        <v>2025</v>
      </c>
      <c r="B17">
        <v>4</v>
      </c>
      <c r="C17" s="1" t="s">
        <v>75</v>
      </c>
      <c r="D17">
        <v>61265014</v>
      </c>
      <c r="E17">
        <v>525939</v>
      </c>
      <c r="F17">
        <v>116.49</v>
      </c>
    </row>
    <row r="18" spans="1:6">
      <c r="A18">
        <v>2025</v>
      </c>
      <c r="B18">
        <v>5</v>
      </c>
      <c r="C18" s="1" t="s">
        <v>76</v>
      </c>
      <c r="D18">
        <v>63522083</v>
      </c>
      <c r="E18">
        <v>556099</v>
      </c>
      <c r="F18">
        <v>114.23</v>
      </c>
    </row>
    <row r="19" spans="1:6">
      <c r="A19">
        <v>2025</v>
      </c>
      <c r="B19">
        <v>6</v>
      </c>
      <c r="C19" s="1" t="s">
        <v>77</v>
      </c>
      <c r="D19">
        <v>85501264</v>
      </c>
      <c r="E19">
        <v>563809</v>
      </c>
      <c r="F19">
        <v>151.65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4.5"/>
  <cols>
    <col min="1" max="1" width="11.36328125" bestFit="1" customWidth="1"/>
    <col min="2" max="2" width="14.36328125" bestFit="1" customWidth="1"/>
    <col min="3" max="3" width="17.54296875" bestFit="1" customWidth="1"/>
    <col min="4" max="4" width="11.26953125" bestFit="1" customWidth="1"/>
  </cols>
  <sheetData>
    <row r="1" spans="1:4">
      <c r="A1" s="1" t="s">
        <v>24</v>
      </c>
      <c r="B1" t="s">
        <v>25</v>
      </c>
      <c r="C1" t="s">
        <v>84</v>
      </c>
      <c r="D1" t="s">
        <v>85</v>
      </c>
    </row>
    <row r="2" spans="1:4">
      <c r="A2" s="1" t="s">
        <v>32</v>
      </c>
      <c r="B2">
        <v>1025</v>
      </c>
      <c r="C2">
        <v>22</v>
      </c>
      <c r="D2">
        <v>2.1</v>
      </c>
    </row>
    <row r="3" spans="1:4">
      <c r="A3" s="1" t="s">
        <v>29</v>
      </c>
      <c r="B3">
        <v>2445</v>
      </c>
      <c r="C3">
        <v>1005</v>
      </c>
      <c r="D3">
        <v>41.1</v>
      </c>
    </row>
    <row r="4" spans="1:4">
      <c r="A4" s="1" t="s">
        <v>31</v>
      </c>
      <c r="B4">
        <v>20</v>
      </c>
      <c r="C4">
        <v>12</v>
      </c>
      <c r="D4">
        <v>60</v>
      </c>
    </row>
    <row r="5" spans="1:4">
      <c r="A5" s="1" t="s">
        <v>30</v>
      </c>
      <c r="B5">
        <v>1487</v>
      </c>
      <c r="C5">
        <v>1044</v>
      </c>
      <c r="D5">
        <v>70.2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19.36328125" bestFit="1" customWidth="1"/>
    <col min="2" max="2" width="18" bestFit="1" customWidth="1"/>
    <col min="3" max="3" width="29.90625" bestFit="1" customWidth="1"/>
  </cols>
  <sheetData>
    <row r="1" spans="1:3">
      <c r="A1" t="s">
        <v>86</v>
      </c>
      <c r="B1" t="s">
        <v>26</v>
      </c>
      <c r="C1" t="s">
        <v>87</v>
      </c>
    </row>
    <row r="2" spans="1:3">
      <c r="A2">
        <v>391499957</v>
      </c>
      <c r="B2">
        <v>378046743</v>
      </c>
      <c r="C2">
        <v>103.56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F2" sqref="F2"/>
    </sheetView>
  </sheetViews>
  <sheetFormatPr defaultRowHeight="14.5"/>
  <cols>
    <col min="1" max="1" width="7.90625" bestFit="1" customWidth="1"/>
    <col min="2" max="2" width="11.26953125" bestFit="1" customWidth="1"/>
    <col min="3" max="3" width="39.6328125" bestFit="1" customWidth="1"/>
    <col min="4" max="4" width="17.6328125" bestFit="1" customWidth="1"/>
    <col min="5" max="5" width="16.26953125" bestFit="1" customWidth="1"/>
    <col min="6" max="6" width="23.453125" bestFit="1" customWidth="1"/>
  </cols>
  <sheetData>
    <row r="1" spans="1:6">
      <c r="A1" t="s">
        <v>33</v>
      </c>
      <c r="B1" t="s">
        <v>34</v>
      </c>
      <c r="C1" t="s">
        <v>88</v>
      </c>
      <c r="D1" t="s">
        <v>89</v>
      </c>
      <c r="E1" t="s">
        <v>90</v>
      </c>
      <c r="F1" t="s">
        <v>91</v>
      </c>
    </row>
    <row r="2" spans="1:6">
      <c r="A2">
        <v>15</v>
      </c>
      <c r="B2">
        <v>225</v>
      </c>
      <c r="C2">
        <v>848</v>
      </c>
      <c r="D2">
        <v>1586252</v>
      </c>
      <c r="E2">
        <v>24355901</v>
      </c>
      <c r="F2">
        <v>4996693</v>
      </c>
    </row>
    <row r="3" spans="1:6">
      <c r="A3">
        <v>3</v>
      </c>
      <c r="B3">
        <v>1058</v>
      </c>
      <c r="C3">
        <v>63</v>
      </c>
      <c r="D3">
        <v>121411</v>
      </c>
      <c r="E3">
        <v>8912180</v>
      </c>
      <c r="F3">
        <v>1798341</v>
      </c>
    </row>
    <row r="4" spans="1:6">
      <c r="A4">
        <v>19</v>
      </c>
      <c r="B4">
        <v>1063</v>
      </c>
      <c r="C4">
        <v>32</v>
      </c>
      <c r="D4">
        <v>69549</v>
      </c>
      <c r="E4">
        <v>5032034</v>
      </c>
      <c r="F4">
        <v>1035033</v>
      </c>
    </row>
    <row r="5" spans="1:6">
      <c r="A5">
        <v>12</v>
      </c>
      <c r="B5">
        <v>852</v>
      </c>
      <c r="C5">
        <v>44</v>
      </c>
      <c r="D5">
        <v>76721</v>
      </c>
      <c r="E5">
        <v>4365221</v>
      </c>
      <c r="F5">
        <v>915133</v>
      </c>
    </row>
    <row r="6" spans="1:6">
      <c r="A6">
        <v>11</v>
      </c>
      <c r="B6">
        <v>1642</v>
      </c>
      <c r="C6">
        <v>8</v>
      </c>
      <c r="D6">
        <v>16301</v>
      </c>
      <c r="E6">
        <v>1840461</v>
      </c>
      <c r="F6">
        <v>374732</v>
      </c>
    </row>
    <row r="7" spans="1:6">
      <c r="A7">
        <v>22</v>
      </c>
      <c r="B7">
        <v>1330</v>
      </c>
      <c r="C7">
        <v>4</v>
      </c>
      <c r="D7">
        <v>10860</v>
      </c>
      <c r="E7">
        <v>1025833</v>
      </c>
      <c r="F7">
        <v>202215</v>
      </c>
    </row>
    <row r="8" spans="1:6">
      <c r="A8">
        <v>18</v>
      </c>
      <c r="B8">
        <v>909</v>
      </c>
      <c r="C8">
        <v>6</v>
      </c>
      <c r="D8">
        <v>10882</v>
      </c>
      <c r="E8">
        <v>687740</v>
      </c>
      <c r="F8">
        <v>138489</v>
      </c>
    </row>
    <row r="9" spans="1:6">
      <c r="A9">
        <v>5</v>
      </c>
      <c r="B9">
        <v>133</v>
      </c>
      <c r="C9">
        <v>13</v>
      </c>
      <c r="D9">
        <v>25672</v>
      </c>
      <c r="E9">
        <v>227303</v>
      </c>
      <c r="F9">
        <v>47800</v>
      </c>
    </row>
    <row r="10" spans="1:6">
      <c r="A10">
        <v>6</v>
      </c>
      <c r="B10">
        <v>482</v>
      </c>
      <c r="C10">
        <v>3</v>
      </c>
      <c r="D10">
        <v>2675</v>
      </c>
      <c r="E10">
        <v>91968</v>
      </c>
      <c r="F10">
        <v>18054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2" sqref="D2"/>
    </sheetView>
  </sheetViews>
  <sheetFormatPr defaultRowHeight="14.5"/>
  <cols>
    <col min="1" max="2" width="11.81640625" bestFit="1" customWidth="1"/>
    <col min="3" max="3" width="12.90625" bestFit="1" customWidth="1"/>
    <col min="4" max="4" width="14.90625" bestFit="1" customWidth="1"/>
  </cols>
  <sheetData>
    <row r="1" spans="1:4">
      <c r="A1" t="s">
        <v>92</v>
      </c>
      <c r="B1" t="s">
        <v>93</v>
      </c>
      <c r="C1" t="s">
        <v>94</v>
      </c>
      <c r="D1" t="s">
        <v>95</v>
      </c>
    </row>
    <row r="2" spans="1:4">
      <c r="A2">
        <v>129998084.34999999</v>
      </c>
      <c r="B2">
        <v>250052523.84999999</v>
      </c>
      <c r="C2">
        <v>399169062.22000003</v>
      </c>
      <c r="D2">
        <v>391499957.31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opLeftCell="A7" workbookViewId="0">
      <selection activeCell="C2" sqref="C2"/>
    </sheetView>
  </sheetViews>
  <sheetFormatPr defaultRowHeight="14.5"/>
  <cols>
    <col min="1" max="1" width="12.36328125" bestFit="1" customWidth="1"/>
    <col min="2" max="2" width="15.6328125" bestFit="1" customWidth="1"/>
    <col min="3" max="3" width="31.1796875" bestFit="1" customWidth="1"/>
  </cols>
  <sheetData>
    <row r="1" spans="1:3">
      <c r="A1" s="3" t="s">
        <v>97</v>
      </c>
      <c r="B1" t="s">
        <v>96</v>
      </c>
      <c r="C1" t="s">
        <v>99</v>
      </c>
    </row>
    <row r="2" spans="1:3">
      <c r="A2" s="4">
        <v>4</v>
      </c>
      <c r="B2" s="2">
        <v>247293170</v>
      </c>
      <c r="C2" s="2">
        <v>65.099999999999994</v>
      </c>
    </row>
    <row r="3" spans="1:3">
      <c r="A3" s="4">
        <v>15</v>
      </c>
      <c r="B3" s="2">
        <v>36224745</v>
      </c>
      <c r="C3" s="2">
        <v>74.599999999999994</v>
      </c>
    </row>
    <row r="4" spans="1:3">
      <c r="A4" s="4">
        <v>3</v>
      </c>
      <c r="B4" s="2">
        <v>18933550</v>
      </c>
      <c r="C4" s="2">
        <v>79.599999999999994</v>
      </c>
    </row>
    <row r="5" spans="1:3">
      <c r="A5" s="4">
        <v>24</v>
      </c>
      <c r="B5" s="2">
        <v>15504275</v>
      </c>
      <c r="C5" s="2">
        <v>83.7</v>
      </c>
    </row>
    <row r="6" spans="1:3">
      <c r="A6" s="4">
        <v>12</v>
      </c>
      <c r="B6" s="2">
        <v>11410984</v>
      </c>
      <c r="C6" s="2">
        <v>86.7</v>
      </c>
    </row>
    <row r="7" spans="1:3">
      <c r="A7" s="4">
        <v>19</v>
      </c>
      <c r="B7" s="2">
        <v>10618580</v>
      </c>
      <c r="C7" s="2">
        <v>89.5</v>
      </c>
    </row>
    <row r="8" spans="1:3">
      <c r="A8" s="4">
        <v>1</v>
      </c>
      <c r="B8" s="2">
        <v>4648316</v>
      </c>
      <c r="C8" s="2">
        <v>90.7</v>
      </c>
    </row>
    <row r="9" spans="1:3">
      <c r="A9" s="4">
        <v>11</v>
      </c>
      <c r="B9" s="2">
        <v>4581042</v>
      </c>
      <c r="C9" s="2">
        <v>91.9</v>
      </c>
    </row>
    <row r="10" spans="1:3">
      <c r="A10" s="4">
        <v>21</v>
      </c>
      <c r="B10" s="2">
        <v>4275309</v>
      </c>
      <c r="C10" s="2">
        <v>93</v>
      </c>
    </row>
    <row r="11" spans="1:3">
      <c r="A11" s="4">
        <v>7</v>
      </c>
      <c r="B11" s="2">
        <v>3800225</v>
      </c>
      <c r="C11" s="2">
        <v>94</v>
      </c>
    </row>
    <row r="12" spans="1:3">
      <c r="A12" s="4">
        <v>14</v>
      </c>
      <c r="B12" s="2">
        <v>2982724</v>
      </c>
      <c r="C12" s="2">
        <v>94.8</v>
      </c>
    </row>
    <row r="13" spans="1:3">
      <c r="A13" s="4">
        <v>17</v>
      </c>
      <c r="B13" s="2">
        <v>2536549</v>
      </c>
      <c r="C13" s="2">
        <v>95.5</v>
      </c>
    </row>
    <row r="14" spans="1:3">
      <c r="A14" s="4">
        <v>9</v>
      </c>
      <c r="B14" s="2">
        <v>2536096</v>
      </c>
      <c r="C14" s="2">
        <v>96.1</v>
      </c>
    </row>
    <row r="15" spans="1:3">
      <c r="A15" s="4">
        <v>18</v>
      </c>
      <c r="B15" s="2">
        <v>2209529</v>
      </c>
      <c r="C15" s="2">
        <v>96.7</v>
      </c>
    </row>
    <row r="16" spans="1:3">
      <c r="A16" s="4">
        <v>25</v>
      </c>
      <c r="B16" s="2">
        <v>2129244</v>
      </c>
      <c r="C16" s="2">
        <v>97.3</v>
      </c>
    </row>
    <row r="17" spans="1:3">
      <c r="A17" s="4">
        <v>20</v>
      </c>
      <c r="B17" s="2">
        <v>1865400</v>
      </c>
      <c r="C17" s="2">
        <v>97.8</v>
      </c>
    </row>
    <row r="18" spans="1:3">
      <c r="A18" s="4">
        <v>22</v>
      </c>
      <c r="B18" s="2">
        <v>1818907</v>
      </c>
      <c r="C18" s="2">
        <v>98.2</v>
      </c>
    </row>
    <row r="19" spans="1:3">
      <c r="A19" s="4">
        <v>23</v>
      </c>
      <c r="B19" s="2">
        <v>1510663</v>
      </c>
      <c r="C19" s="2">
        <v>98.6</v>
      </c>
    </row>
    <row r="20" spans="1:3">
      <c r="A20" s="4">
        <v>10</v>
      </c>
      <c r="B20" s="2">
        <v>1255965</v>
      </c>
      <c r="C20" s="2">
        <v>99</v>
      </c>
    </row>
    <row r="21" spans="1:3">
      <c r="A21" s="4">
        <v>8</v>
      </c>
      <c r="B21" s="2">
        <v>1037071</v>
      </c>
      <c r="C21" s="2">
        <v>99.2</v>
      </c>
    </row>
    <row r="22" spans="1:3">
      <c r="A22" s="4">
        <v>13</v>
      </c>
      <c r="B22" s="2">
        <v>882890</v>
      </c>
      <c r="C22" s="2">
        <v>99.5</v>
      </c>
    </row>
    <row r="23" spans="1:3">
      <c r="A23" s="4">
        <v>6</v>
      </c>
      <c r="B23" s="2">
        <v>752285</v>
      </c>
      <c r="C23" s="2">
        <v>99.7</v>
      </c>
    </row>
    <row r="24" spans="1:3">
      <c r="A24" s="4">
        <v>16</v>
      </c>
      <c r="B24" s="2">
        <v>510203</v>
      </c>
      <c r="C24" s="2">
        <v>99.8</v>
      </c>
    </row>
    <row r="25" spans="1:3">
      <c r="A25" s="4">
        <v>2</v>
      </c>
      <c r="B25" s="2">
        <v>386898</v>
      </c>
      <c r="C25" s="2">
        <v>99.9</v>
      </c>
    </row>
    <row r="26" spans="1:3">
      <c r="A26" s="4">
        <v>5</v>
      </c>
      <c r="B26" s="2">
        <v>345989</v>
      </c>
      <c r="C26" s="2">
        <v>100</v>
      </c>
    </row>
    <row r="27" spans="1:3">
      <c r="A27" s="4" t="s">
        <v>98</v>
      </c>
      <c r="B27" s="2">
        <v>380050609</v>
      </c>
      <c r="C27" s="2">
        <v>92.835999999999999</v>
      </c>
    </row>
  </sheetData>
  <sortState columnSort="1" ref="A1:C27">
    <sortCondition descending="1" ref="C1"/>
  </sortState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2" sqref="B2"/>
    </sheetView>
  </sheetViews>
  <sheetFormatPr defaultRowHeight="14.5"/>
  <cols>
    <col min="1" max="1" width="19.7265625" customWidth="1"/>
    <col min="2" max="2" width="18.6328125" customWidth="1"/>
    <col min="3" max="3" width="29.36328125" customWidth="1"/>
  </cols>
  <sheetData>
    <row r="1" spans="1:3">
      <c r="A1" s="3" t="s">
        <v>97</v>
      </c>
      <c r="B1" t="s">
        <v>101</v>
      </c>
      <c r="C1" t="s">
        <v>100</v>
      </c>
    </row>
    <row r="2" spans="1:3">
      <c r="A2" s="4" t="s">
        <v>50</v>
      </c>
      <c r="B2" s="2">
        <v>4.03</v>
      </c>
      <c r="C2" s="2">
        <v>286.48</v>
      </c>
    </row>
    <row r="3" spans="1:3">
      <c r="A3" s="4" t="s">
        <v>52</v>
      </c>
      <c r="B3" s="2">
        <v>1.1499999999999999</v>
      </c>
      <c r="C3" s="2">
        <v>84.73</v>
      </c>
    </row>
    <row r="4" spans="1:3">
      <c r="A4" s="4" t="s">
        <v>53</v>
      </c>
      <c r="B4" s="2">
        <v>1.1299999999999999</v>
      </c>
      <c r="C4" s="2">
        <v>83.19</v>
      </c>
    </row>
    <row r="5" spans="1:3">
      <c r="A5" s="4" t="s">
        <v>54</v>
      </c>
      <c r="B5" s="2">
        <v>0.73</v>
      </c>
      <c r="C5" s="2">
        <v>55.01</v>
      </c>
    </row>
    <row r="6" spans="1:3">
      <c r="A6" s="4" t="s">
        <v>51</v>
      </c>
      <c r="B6" s="2">
        <v>0.55000000000000004</v>
      </c>
      <c r="C6" s="2">
        <v>91.04</v>
      </c>
    </row>
    <row r="7" spans="1:3">
      <c r="A7" s="4" t="s">
        <v>55</v>
      </c>
      <c r="B7" s="2">
        <v>0.5</v>
      </c>
      <c r="C7" s="2">
        <v>45.42</v>
      </c>
    </row>
    <row r="8" spans="1:3">
      <c r="A8" s="4" t="s">
        <v>56</v>
      </c>
      <c r="B8" s="2">
        <v>0.24</v>
      </c>
      <c r="C8" s="2">
        <v>21.5</v>
      </c>
    </row>
    <row r="9" spans="1:3">
      <c r="A9" s="4" t="s">
        <v>98</v>
      </c>
      <c r="B9" s="2">
        <v>1.19</v>
      </c>
      <c r="C9" s="2">
        <v>95.338571428571441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O13" sqref="O13"/>
    </sheetView>
  </sheetViews>
  <sheetFormatPr defaultRowHeight="14.5"/>
  <cols>
    <col min="1" max="1" width="16.08984375" customWidth="1"/>
    <col min="2" max="2" width="12" customWidth="1"/>
    <col min="3" max="3" width="11.7265625" customWidth="1"/>
    <col min="4" max="4" width="10.81640625" bestFit="1" customWidth="1"/>
  </cols>
  <sheetData>
    <row r="1" spans="1:4">
      <c r="A1" t="s">
        <v>102</v>
      </c>
      <c r="B1" t="s">
        <v>108</v>
      </c>
      <c r="C1" t="s">
        <v>109</v>
      </c>
      <c r="D1" t="s">
        <v>110</v>
      </c>
    </row>
    <row r="2" spans="1:4">
      <c r="A2" t="s">
        <v>103</v>
      </c>
      <c r="B2">
        <v>0</v>
      </c>
      <c r="C2">
        <v>129998084.34999999</v>
      </c>
      <c r="D2">
        <v>0</v>
      </c>
    </row>
    <row r="3" spans="1:4">
      <c r="A3" t="s">
        <v>104</v>
      </c>
      <c r="B3">
        <f>B2+C2</f>
        <v>129998084.34999999</v>
      </c>
      <c r="C3">
        <v>250052523.84999999</v>
      </c>
      <c r="D3">
        <v>0</v>
      </c>
    </row>
    <row r="4" spans="1:4">
      <c r="A4" t="s">
        <v>105</v>
      </c>
      <c r="B4">
        <f>B3+C3</f>
        <v>380050608.19999999</v>
      </c>
      <c r="C4">
        <v>399169062.22000003</v>
      </c>
      <c r="D4">
        <v>0</v>
      </c>
    </row>
    <row r="5" spans="1:4">
      <c r="A5" t="s">
        <v>106</v>
      </c>
      <c r="B5">
        <f>B4+C4</f>
        <v>779219670.42000008</v>
      </c>
      <c r="C5">
        <v>391499957.31</v>
      </c>
      <c r="D5">
        <v>0</v>
      </c>
    </row>
    <row r="6" spans="1:4">
      <c r="A6" t="s">
        <v>107</v>
      </c>
      <c r="B6">
        <v>0</v>
      </c>
      <c r="C6">
        <v>0</v>
      </c>
      <c r="D6">
        <f>B5+C5</f>
        <v>1170719627.73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G5" sqref="G5"/>
    </sheetView>
  </sheetViews>
  <sheetFormatPr defaultRowHeight="14.5"/>
  <cols>
    <col min="1" max="1" width="24" customWidth="1"/>
    <col min="2" max="2" width="10" customWidth="1"/>
    <col min="5" max="5" width="10.81640625" bestFit="1" customWidth="1"/>
  </cols>
  <sheetData>
    <row r="1" spans="1:5">
      <c r="A1" t="s">
        <v>111</v>
      </c>
      <c r="B1">
        <v>6.8000000000000005E-2</v>
      </c>
      <c r="D1" t="s">
        <v>121</v>
      </c>
      <c r="E1">
        <f>B11</f>
        <v>46786.502740000011</v>
      </c>
    </row>
    <row r="2" spans="1:5">
      <c r="A2" t="s">
        <v>112</v>
      </c>
      <c r="B2">
        <v>3.3300000000000003E-2</v>
      </c>
      <c r="D2" s="5">
        <v>0.1</v>
      </c>
      <c r="E2">
        <f t="dataTable" ref="E2:E6" dt2D="0" dtr="0" r1="B5"/>
        <v>4678.6502740000014</v>
      </c>
    </row>
    <row r="3" spans="1:5">
      <c r="A3" t="s">
        <v>113</v>
      </c>
      <c r="B3">
        <v>1586252</v>
      </c>
      <c r="D3" s="5">
        <v>0.25</v>
      </c>
      <c r="E3">
        <v>11696.625685000003</v>
      </c>
    </row>
    <row r="4" spans="1:5">
      <c r="A4" t="s">
        <v>114</v>
      </c>
      <c r="B4" s="5">
        <v>0.15</v>
      </c>
      <c r="D4" s="5">
        <v>0.5</v>
      </c>
      <c r="E4">
        <v>23393.251370000005</v>
      </c>
    </row>
    <row r="5" spans="1:5">
      <c r="A5" t="s">
        <v>115</v>
      </c>
      <c r="B5" s="5">
        <v>1</v>
      </c>
      <c r="D5" s="5">
        <v>0.75</v>
      </c>
      <c r="E5">
        <v>35089.877054999997</v>
      </c>
    </row>
    <row r="6" spans="1:5">
      <c r="D6" s="5">
        <v>1</v>
      </c>
      <c r="E6">
        <v>46786.502740000011</v>
      </c>
    </row>
    <row r="7" spans="1:5">
      <c r="A7" t="s">
        <v>116</v>
      </c>
      <c r="B7">
        <f>B3*B5</f>
        <v>1586252</v>
      </c>
    </row>
    <row r="8" spans="1:5">
      <c r="A8" t="s">
        <v>117</v>
      </c>
      <c r="B8">
        <f>B7*B1</f>
        <v>107865.13600000001</v>
      </c>
    </row>
    <row r="9" spans="1:5">
      <c r="A9" t="s">
        <v>118</v>
      </c>
      <c r="B9">
        <f>B7*B2</f>
        <v>52822.191600000006</v>
      </c>
    </row>
    <row r="10" spans="1:5">
      <c r="A10" t="s">
        <v>119</v>
      </c>
      <c r="B10">
        <f>B8-B9</f>
        <v>55042.944400000008</v>
      </c>
    </row>
    <row r="11" spans="1:5">
      <c r="A11" t="s">
        <v>120</v>
      </c>
      <c r="B11">
        <f>B10-(B10*B4)</f>
        <v>46786.502740000011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topLeftCell="A7" workbookViewId="0">
      <selection activeCell="D4" sqref="D4"/>
    </sheetView>
  </sheetViews>
  <sheetFormatPr defaultRowHeight="14.5"/>
  <cols>
    <col min="1" max="1" width="126.36328125" customWidth="1"/>
    <col min="2" max="2" width="17.81640625" customWidth="1"/>
  </cols>
  <sheetData>
    <row r="1" spans="1:1">
      <c r="A1" s="6" t="s">
        <v>133</v>
      </c>
    </row>
    <row r="2" spans="1:1">
      <c r="A2" s="7" t="s">
        <v>122</v>
      </c>
    </row>
    <row r="4" spans="1:1">
      <c r="A4" s="7" t="s">
        <v>123</v>
      </c>
    </row>
    <row r="6" spans="1:1">
      <c r="A6" s="6" t="s">
        <v>124</v>
      </c>
    </row>
    <row r="7" spans="1:1">
      <c r="A7" s="7" t="s">
        <v>125</v>
      </c>
    </row>
    <row r="9" spans="1:1">
      <c r="A9" s="7" t="s">
        <v>126</v>
      </c>
    </row>
    <row r="11" spans="1:1">
      <c r="A11" s="6" t="s">
        <v>127</v>
      </c>
    </row>
    <row r="12" spans="1:1">
      <c r="A12" s="7" t="s">
        <v>128</v>
      </c>
    </row>
    <row r="14" spans="1:1">
      <c r="A14" s="7" t="s">
        <v>129</v>
      </c>
    </row>
    <row r="16" spans="1:1">
      <c r="A16" s="6" t="s">
        <v>130</v>
      </c>
    </row>
    <row r="17" spans="1:1">
      <c r="A17" s="7" t="s">
        <v>131</v>
      </c>
    </row>
    <row r="19" spans="1:1">
      <c r="A19" s="7" t="s">
        <v>132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12</vt:i4>
      </vt:variant>
    </vt:vector>
  </HeadingPairs>
  <TitlesOfParts>
    <vt:vector size="30" baseType="lpstr">
      <vt:lpstr>Readme</vt:lpstr>
      <vt:lpstr>01_inventory_turnover</vt:lpstr>
      <vt:lpstr>02_cost_per_tonkm</vt:lpstr>
      <vt:lpstr>03_delay_by_route</vt:lpstr>
      <vt:lpstr>03b_monsoon_delay</vt:lpstr>
      <vt:lpstr>04_supplier_scorecard</vt:lpstr>
      <vt:lpstr>05_warehouse_utilization</vt:lpstr>
      <vt:lpstr>06_pareto_routes</vt:lpstr>
      <vt:lpstr>07_monthly_cost_trend</vt:lpstr>
      <vt:lpstr>08_ontime_delivery</vt:lpstr>
      <vt:lpstr>09_demurrage_impact</vt:lpstr>
      <vt:lpstr>10_roadtopipeline_shift</vt:lpstr>
      <vt:lpstr>11_cost_component_breakdown</vt:lpstr>
      <vt:lpstr>pivot_cost</vt:lpstr>
      <vt:lpstr>pivot_supplier</vt:lpstr>
      <vt:lpstr>waterfall</vt:lpstr>
      <vt:lpstr>whatif_modeshift</vt:lpstr>
      <vt:lpstr>findings</vt:lpstr>
      <vt:lpstr>'01_inventory_turnover'!_01_inventory_turnover</vt:lpstr>
      <vt:lpstr>'02_cost_per_tonkm'!_02_cost_per_tonkm</vt:lpstr>
      <vt:lpstr>'03_delay_by_route'!_03_delay_by_route</vt:lpstr>
      <vt:lpstr>'03b_monsoon_delay'!_03b_monsoon_delay</vt:lpstr>
      <vt:lpstr>'04_supplier_scorecard'!_04_supplier_scorecard</vt:lpstr>
      <vt:lpstr>'05_warehouse_utilization'!_05_warehouse_utilization</vt:lpstr>
      <vt:lpstr>'06_pareto_routes'!_06_pareto_routes</vt:lpstr>
      <vt:lpstr>'07_monthly_cost_trend'!_07_monthly_cost_trend</vt:lpstr>
      <vt:lpstr>'08_ontime_delivery'!_08_ontime_delivery</vt:lpstr>
      <vt:lpstr>'09_demurrage_impact'!_09_demurrage_impact</vt:lpstr>
      <vt:lpstr>'10_roadtopipeline_shift'!_10_roadtopipeline_shift</vt:lpstr>
      <vt:lpstr>'11_cost_component_breakdown'!_11_cost_component_breakdown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2026-07-08T14:02:50Z</dcterms:created>
  <dcterms:modified xsi:type="dcterms:W3CDTF">2026-07-09T01:05:36Z</dcterms:modified>
</cp:coreProperties>
</file>